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vest" sheetId="1" r:id="rId1"/>
    <sheet name="Deliveries" sheetId="2" r:id="rId2"/>
    <sheet name="Diversion" sheetId="3" r:id="rId3"/>
    <sheet name="Energy" sheetId="4" r:id="rId4"/>
    <sheet name="Water" sheetId="5" r:id="rId5"/>
    <sheet name="Workforce" sheetId="6" r:id="rId6"/>
    <sheet name="Factors" sheetId="7" r:id="rId7"/>
    <sheet name="Carbon_Calc" sheetId="8" r:id="rId8"/>
    <sheet name="Monthly_Rollup" sheetId="9" r:id="rId9"/>
  </sheets>
  <calcPr calcId="124519" fullCalcOnLoad="1"/>
</workbook>
</file>

<file path=xl/sharedStrings.xml><?xml version="1.0" encoding="utf-8"?>
<sst xmlns="http://schemas.openxmlformats.org/spreadsheetml/2006/main" count="93" uniqueCount="68">
  <si>
    <t>Date</t>
  </si>
  <si>
    <t>BatchID</t>
  </si>
  <si>
    <t>Trays_Harvested</t>
  </si>
  <si>
    <t>Sellable_Trays</t>
  </si>
  <si>
    <t>Photo_Proof</t>
  </si>
  <si>
    <t>InvoiceID</t>
  </si>
  <si>
    <t>Month</t>
  </si>
  <si>
    <t>H-001</t>
  </si>
  <si>
    <t>H-002</t>
  </si>
  <si>
    <t>H-003</t>
  </si>
  <si>
    <t>H-004</t>
  </si>
  <si>
    <t>Y</t>
  </si>
  <si>
    <t>INV-1001</t>
  </si>
  <si>
    <t>INV-1002</t>
  </si>
  <si>
    <t>INV-1003</t>
  </si>
  <si>
    <t>INV-1004</t>
  </si>
  <si>
    <t>2026-01</t>
  </si>
  <si>
    <t>OrderID</t>
  </si>
  <si>
    <t>Miles_OneWay</t>
  </si>
  <si>
    <t>Vehicle_Type</t>
  </si>
  <si>
    <t>ORD-1</t>
  </si>
  <si>
    <t>ORD-2</t>
  </si>
  <si>
    <t>ORD-3</t>
  </si>
  <si>
    <t>ORD-4</t>
  </si>
  <si>
    <t>Van</t>
  </si>
  <si>
    <t>EV</t>
  </si>
  <si>
    <t>Material</t>
  </si>
  <si>
    <t>Mass_kg</t>
  </si>
  <si>
    <t>Plant trimmings</t>
  </si>
  <si>
    <t>Spent substrate</t>
  </si>
  <si>
    <t>Inverter_kWh</t>
  </si>
  <si>
    <t>Utility_kWh</t>
  </si>
  <si>
    <t>Recirc_Volume_L</t>
  </si>
  <si>
    <t>Makeup_Volume_L</t>
  </si>
  <si>
    <t>Quarter</t>
  </si>
  <si>
    <t>Paid_Hours</t>
  </si>
  <si>
    <t>FTE_Calc</t>
  </si>
  <si>
    <t>Youth_Trained_This_Qtr</t>
  </si>
  <si>
    <t>2026-Q1</t>
  </si>
  <si>
    <t>Factor_Name</t>
  </si>
  <si>
    <t>Value</t>
  </si>
  <si>
    <t>Units</t>
  </si>
  <si>
    <t>Notes</t>
  </si>
  <si>
    <t>gCO2e_per_mile_van</t>
  </si>
  <si>
    <t>gCO2e_per_mile_EV</t>
  </si>
  <si>
    <t>kgCO2e_per_kg_organic</t>
  </si>
  <si>
    <t>kgCO2e_per_kWh_grid</t>
  </si>
  <si>
    <t>gCO2e/mile</t>
  </si>
  <si>
    <t>kgCO2e/kg</t>
  </si>
  <si>
    <t>kgCO2e/kWh</t>
  </si>
  <si>
    <t>Source placeholder—replace with local/utility factors</t>
  </si>
  <si>
    <t>EV placeholder</t>
  </si>
  <si>
    <t>Compost diversion placeholder</t>
  </si>
  <si>
    <t>Utility grid intensity placeholder</t>
  </si>
  <si>
    <t>Metric</t>
  </si>
  <si>
    <t>Value_tCO2e</t>
  </si>
  <si>
    <t>Transport_Avoided_tCO2e</t>
  </si>
  <si>
    <t>Diversion_tCO2e</t>
  </si>
  <si>
    <t>Renewables_Displacement_tCO2e</t>
  </si>
  <si>
    <t>Operational_Energy_tCO2e</t>
  </si>
  <si>
    <t>Net_tCO2e</t>
  </si>
  <si>
    <t>Trays_Sellable</t>
  </si>
  <si>
    <t>Carbon_tCO2e</t>
  </si>
  <si>
    <t>Water_Reuse_%</t>
  </si>
  <si>
    <t>Renewable_Energy_%</t>
  </si>
  <si>
    <t>Jobs_FTE_Qtr</t>
  </si>
  <si>
    <t>Youth_Trained_Qtr</t>
  </si>
  <si>
    <t>Max_Delivery_Miles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</si>
</sst>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B2" t="s">
        <v>7</v>
      </c>
      <c r="C2">
        <v>20</v>
      </c>
      <c r="D2">
        <v>20</v>
      </c>
      <c r="E2" t="s">
        <v>11</v>
      </c>
      <c r="F2" t="s">
        <v>12</v>
      </c>
      <c r="G2" t="s">
        <v>16</v>
      </c>
    </row>
    <row r="3" spans="1:7">
      <c r="A3" s="2">
        <v>46030</v>
      </c>
      <c r="B3" t="s">
        <v>8</v>
      </c>
      <c r="C3">
        <v>20</v>
      </c>
      <c r="D3">
        <v>19</v>
      </c>
      <c r="E3" t="s">
        <v>11</v>
      </c>
      <c r="F3" t="s">
        <v>13</v>
      </c>
      <c r="G3" t="s">
        <v>16</v>
      </c>
    </row>
    <row r="4" spans="1:7">
      <c r="A4" s="2">
        <v>46037</v>
      </c>
      <c r="B4" t="s">
        <v>9</v>
      </c>
      <c r="C4">
        <v>20</v>
      </c>
      <c r="D4">
        <v>20</v>
      </c>
      <c r="E4" t="s">
        <v>11</v>
      </c>
      <c r="F4" t="s">
        <v>14</v>
      </c>
      <c r="G4" t="s">
        <v>16</v>
      </c>
    </row>
    <row r="5" spans="1:7">
      <c r="A5" s="2">
        <v>46044</v>
      </c>
      <c r="B5" t="s">
        <v>10</v>
      </c>
      <c r="C5">
        <v>20</v>
      </c>
      <c r="D5">
        <v>20</v>
      </c>
      <c r="E5" t="s">
        <v>11</v>
      </c>
      <c r="F5" t="s">
        <v>15</v>
      </c>
      <c r="G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17</v>
      </c>
      <c r="C1" s="1" t="s">
        <v>18</v>
      </c>
      <c r="D1" s="1" t="s">
        <v>19</v>
      </c>
      <c r="E1" s="1" t="s">
        <v>6</v>
      </c>
    </row>
    <row r="2" spans="1:5">
      <c r="A2" s="2">
        <v>46024</v>
      </c>
      <c r="B2" t="s">
        <v>20</v>
      </c>
      <c r="C2">
        <v>6.5</v>
      </c>
      <c r="D2" t="s">
        <v>24</v>
      </c>
      <c r="E2" t="s">
        <v>16</v>
      </c>
    </row>
    <row r="3" spans="1:5">
      <c r="A3" s="2">
        <v>46031</v>
      </c>
      <c r="B3" t="s">
        <v>21</v>
      </c>
      <c r="C3">
        <v>8.199999999999999</v>
      </c>
      <c r="D3" t="s">
        <v>24</v>
      </c>
      <c r="E3" t="s">
        <v>16</v>
      </c>
    </row>
    <row r="4" spans="1:5">
      <c r="A4" s="2">
        <v>46038</v>
      </c>
      <c r="B4" t="s">
        <v>22</v>
      </c>
      <c r="C4">
        <v>7.9</v>
      </c>
      <c r="D4" t="s">
        <v>25</v>
      </c>
      <c r="E4" t="s">
        <v>16</v>
      </c>
    </row>
    <row r="5" spans="1:5">
      <c r="A5" s="2">
        <v>46045</v>
      </c>
      <c r="B5" t="s">
        <v>23</v>
      </c>
      <c r="C5">
        <v>9.1</v>
      </c>
      <c r="D5" t="s">
        <v>24</v>
      </c>
      <c r="E5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26</v>
      </c>
      <c r="C1" s="1" t="s">
        <v>27</v>
      </c>
      <c r="D1" s="1" t="s">
        <v>6</v>
      </c>
    </row>
    <row r="2" spans="1:4">
      <c r="A2" s="2">
        <v>46028</v>
      </c>
      <c r="B2" t="s">
        <v>28</v>
      </c>
      <c r="C2">
        <v>25</v>
      </c>
      <c r="D2" t="s">
        <v>16</v>
      </c>
    </row>
    <row r="3" spans="1:4">
      <c r="A3" s="2">
        <v>46043</v>
      </c>
      <c r="B3" t="s">
        <v>29</v>
      </c>
      <c r="C3">
        <v>30</v>
      </c>
      <c r="D3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</v>
      </c>
      <c r="B1" s="1" t="s">
        <v>30</v>
      </c>
      <c r="C1" s="1" t="s">
        <v>31</v>
      </c>
    </row>
    <row r="2" spans="1:3">
      <c r="A2" t="s">
        <v>16</v>
      </c>
      <c r="B2">
        <v>350</v>
      </c>
      <c r="C2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</v>
      </c>
      <c r="B1" s="1" t="s">
        <v>32</v>
      </c>
      <c r="C1" s="1" t="s">
        <v>33</v>
      </c>
    </row>
    <row r="2" spans="1:3">
      <c r="A2" t="s">
        <v>16</v>
      </c>
      <c r="B2">
        <v>9000</v>
      </c>
      <c r="C2">
        <v>6000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34</v>
      </c>
      <c r="B1" s="1" t="s">
        <v>35</v>
      </c>
      <c r="C1" s="1" t="s">
        <v>36</v>
      </c>
      <c r="D1" s="1" t="s">
        <v>37</v>
      </c>
    </row>
    <row r="2" spans="1:4">
      <c r="A2" t="s">
        <v>38</v>
      </c>
      <c r="B2">
        <v>260</v>
      </c>
      <c r="C2">
        <f>Paid_Hours/520</f>
        <v>0</v>
      </c>
      <c r="D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39</v>
      </c>
      <c r="B1" s="1" t="s">
        <v>40</v>
      </c>
      <c r="C1" s="1" t="s">
        <v>41</v>
      </c>
      <c r="D1" s="1" t="s">
        <v>42</v>
      </c>
    </row>
    <row r="2" spans="1:4">
      <c r="A2" t="s">
        <v>43</v>
      </c>
      <c r="B2">
        <v>404</v>
      </c>
      <c r="C2" t="s">
        <v>47</v>
      </c>
      <c r="D2" t="s">
        <v>50</v>
      </c>
    </row>
    <row r="3" spans="1:4">
      <c r="A3" t="s">
        <v>44</v>
      </c>
      <c r="B3">
        <v>100</v>
      </c>
      <c r="C3" t="s">
        <v>47</v>
      </c>
      <c r="D3" t="s">
        <v>51</v>
      </c>
    </row>
    <row r="4" spans="1:4">
      <c r="A4" t="s">
        <v>45</v>
      </c>
      <c r="B4">
        <v>1.9</v>
      </c>
      <c r="C4" t="s">
        <v>48</v>
      </c>
      <c r="D4" t="s">
        <v>52</v>
      </c>
    </row>
    <row r="5" spans="1:4">
      <c r="A5" t="s">
        <v>46</v>
      </c>
      <c r="B5">
        <v>0.4</v>
      </c>
      <c r="C5" t="s">
        <v>49</v>
      </c>
      <c r="D5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54</v>
      </c>
      <c r="B1" s="1" t="s">
        <v>55</v>
      </c>
    </row>
    <row r="2" spans="1:2">
      <c r="A2" t="s">
        <v>56</v>
      </c>
      <c r="B2">
        <f>SUMPRODUCT(Deliveries!C2:C5,IF(Deliveries!D2:D5="EV",Factors!B3/1000,Factors!B2/1000))/1000</f>
        <v>0</v>
      </c>
    </row>
    <row r="3" spans="1:2">
      <c r="A3" t="s">
        <v>57</v>
      </c>
      <c r="B3">
        <f>SUM(Diversion!C2:C3)*Factors!B4/1000</f>
        <v>0</v>
      </c>
    </row>
    <row r="4" spans="1:2">
      <c r="A4" t="s">
        <v>58</v>
      </c>
      <c r="B4">
        <f>Energy!B2*Factors!B5/1000</f>
        <v>0</v>
      </c>
    </row>
    <row r="5" spans="1:2">
      <c r="A5" t="s">
        <v>59</v>
      </c>
      <c r="B5">
        <f>Energy!C2*Factors!B5/1000</f>
        <v>0</v>
      </c>
    </row>
    <row r="6" spans="1:2">
      <c r="A6" t="s">
        <v>60</v>
      </c>
      <c r="B6">
        <f>B2+B3+B4-B5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6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</row>
    <row r="2" spans="1:8">
      <c r="A2" t="s">
        <v>16</v>
      </c>
      <c r="B2">
        <f>SUMIFS(Harvest!D:D,Harvest!G:G,A2)</f>
        <v>0</v>
      </c>
      <c r="C2">
        <f>Carbon_Calc!B2</f>
        <v>0</v>
      </c>
      <c r="D2">
        <f>ROUND(Water!B2/(Water!B2+Water!C2)*100,1)</f>
        <v>0</v>
      </c>
      <c r="E2">
        <f>ROUND(Energy!B2/(Energy!B2+Energy!C2)*100,1)</f>
        <v>0</v>
      </c>
      <c r="F2">
        <f>Workforce!C2</f>
        <v>0</v>
      </c>
      <c r="G2">
        <f>Workforce!D2</f>
        <v>0</v>
      </c>
      <c r="H2">
        <f>MAX(Deliveries!C:C)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Harvest</vt:lpstr>
      <vt:lpstr>Deliveries</vt:lpstr>
      <vt:lpstr>Diversion</vt:lpstr>
      <vt:lpstr>Energy</vt:lpstr>
      <vt:lpstr>Water</vt:lpstr>
      <vt:lpstr>Workforce</vt:lpstr>
      <vt:lpstr>Factors</vt:lpstr>
      <vt:lpstr>Carbon_Calc</vt:lpstr>
      <vt:lpstr>Monthly_Rollup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2026-01-29T07:38:33Z</dcterms:created>
  <dcterms:modified xsi:type="dcterms:W3CDTF">2026-01-29T07:38:33Z</dcterms:modified>
</cp:coreProperties>
</file>