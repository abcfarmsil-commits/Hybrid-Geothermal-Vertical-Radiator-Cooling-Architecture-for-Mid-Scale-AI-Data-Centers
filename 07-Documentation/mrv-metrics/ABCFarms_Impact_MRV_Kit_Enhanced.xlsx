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actor_Source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Harvest" sheetId="4" state="visible" r:id="rId4"/>
    <sheet xmlns:r="http://schemas.openxmlformats.org/officeDocument/2006/relationships" name="Deliveries" sheetId="5" state="visible" r:id="rId5"/>
    <sheet xmlns:r="http://schemas.openxmlformats.org/officeDocument/2006/relationships" name="Diversion" sheetId="6" state="visible" r:id="rId6"/>
    <sheet xmlns:r="http://schemas.openxmlformats.org/officeDocument/2006/relationships" name="Energy" sheetId="7" state="visible" r:id="rId7"/>
    <sheet xmlns:r="http://schemas.openxmlformats.org/officeDocument/2006/relationships" name="Water" sheetId="8" state="visible" r:id="rId8"/>
    <sheet xmlns:r="http://schemas.openxmlformats.org/officeDocument/2006/relationships" name="Workforce" sheetId="9" state="visible" r:id="rId9"/>
    <sheet xmlns:r="http://schemas.openxmlformats.org/officeDocument/2006/relationships" name="Factors" sheetId="10" state="visible" r:id="rId10"/>
    <sheet xmlns:r="http://schemas.openxmlformats.org/officeDocument/2006/relationships" name="Carbon_Calc" sheetId="11" state="visible" r:id="rId11"/>
    <sheet xmlns:r="http://schemas.openxmlformats.org/officeDocument/2006/relationships" name="Monthly_Roll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0" customWidth="1" min="5" max="5"/>
    <col width="45" customWidth="1" min="6" max="6"/>
  </cols>
  <sheetData>
    <row r="1">
      <c r="A1" s="3" t="inlineStr">
        <is>
          <t>Key</t>
        </is>
      </c>
      <c r="B1" s="3" t="inlineStr">
        <is>
          <t>Phase 0.8</t>
        </is>
      </c>
      <c r="C1" s="3" t="inlineStr">
        <is>
          <t>Phase 1</t>
        </is>
      </c>
      <c r="D1" s="3" t="inlineStr">
        <is>
          <t>Phase 2</t>
        </is>
      </c>
      <c r="E1" s="3" t="inlineStr">
        <is>
          <t>Units</t>
        </is>
      </c>
      <c r="F1" s="3" t="inlineStr">
        <is>
          <t>Notes</t>
        </is>
      </c>
    </row>
    <row r="2">
      <c r="A2" t="inlineStr">
        <is>
          <t>Microgreens_trays_per_month_low</t>
        </is>
      </c>
      <c r="B2" t="n">
        <v>80</v>
      </c>
      <c r="C2" t="n">
        <v>200</v>
      </c>
      <c r="D2" t="n">
        <v>400</v>
      </c>
      <c r="E2" t="inlineStr">
        <is>
          <t>trays/mo</t>
        </is>
      </c>
      <c r="F2" t="inlineStr">
        <is>
          <t>Use 'high' for range upper bound</t>
        </is>
      </c>
    </row>
    <row r="3">
      <c r="A3" t="inlineStr">
        <is>
          <t>Microgreens_trays_per_month_high</t>
        </is>
      </c>
      <c r="B3" t="n">
        <v>80</v>
      </c>
      <c r="C3" t="n">
        <v>400</v>
      </c>
      <c r="D3" t="n">
        <v>9999</v>
      </c>
      <c r="E3" t="inlineStr">
        <is>
          <t>trays/mo</t>
        </is>
      </c>
      <c r="F3" t="inlineStr">
        <is>
          <t>9999 = open upper bound</t>
        </is>
      </c>
    </row>
    <row r="4">
      <c r="A4" t="inlineStr">
        <is>
          <t>Carbon_tCO2e_per_year</t>
        </is>
      </c>
      <c r="B4" t="n">
        <v>0</v>
      </c>
      <c r="C4" t="n">
        <v>18</v>
      </c>
      <c r="D4" t="n">
        <v>36</v>
      </c>
      <c r="E4" t="inlineStr">
        <is>
          <t>tCO2e/yr</t>
        </is>
      </c>
      <c r="F4" t="inlineStr">
        <is>
          <t>Set 0.8 to 0 unless you claim transport/renewables early</t>
        </is>
      </c>
    </row>
    <row r="5">
      <c r="A5" t="inlineStr">
        <is>
          <t>Water_Reuse_percent_low</t>
        </is>
      </c>
      <c r="B5" t="n">
        <v>0</v>
      </c>
      <c r="C5" t="n">
        <v>0</v>
      </c>
      <c r="D5" t="n">
        <v>0</v>
      </c>
      <c r="E5" t="inlineStr">
        <is>
          <t>%</t>
        </is>
      </c>
      <c r="F5" t="inlineStr">
        <is>
          <t>Enter measured baselines as meters come online</t>
        </is>
      </c>
    </row>
    <row r="6">
      <c r="A6" t="inlineStr">
        <is>
          <t>Water_Reuse_percent_high</t>
        </is>
      </c>
      <c r="B6" t="n">
        <v>0</v>
      </c>
      <c r="C6" t="n">
        <v>0</v>
      </c>
      <c r="D6" t="n">
        <v>100</v>
      </c>
      <c r="E6" t="inlineStr">
        <is>
          <t>%</t>
        </is>
      </c>
      <c r="F6" t="inlineStr"/>
    </row>
    <row r="7">
      <c r="A7" t="inlineStr">
        <is>
          <t>Renewable_percent_low</t>
        </is>
      </c>
      <c r="B7" t="n">
        <v>0</v>
      </c>
      <c r="C7" t="n">
        <v>70</v>
      </c>
      <c r="D7" t="n">
        <v>92</v>
      </c>
      <c r="E7" t="inlineStr">
        <is>
          <t>%</t>
        </is>
      </c>
      <c r="F7" t="inlineStr"/>
    </row>
    <row r="8">
      <c r="A8" t="inlineStr">
        <is>
          <t>Renewable_percent_high</t>
        </is>
      </c>
      <c r="B8" t="n">
        <v>50</v>
      </c>
      <c r="C8" t="n">
        <v>70</v>
      </c>
      <c r="D8" t="n">
        <v>100</v>
      </c>
      <c r="E8" t="inlineStr">
        <is>
          <t>%</t>
        </is>
      </c>
      <c r="F8" t="inlineStr"/>
    </row>
    <row r="9">
      <c r="A9" t="inlineStr">
        <is>
          <t>Youth_Trained_per_year</t>
        </is>
      </c>
      <c r="B9" t="n">
        <v>3</v>
      </c>
      <c r="C9" t="n">
        <v>6</v>
      </c>
      <c r="D9" t="n">
        <v>12</v>
      </c>
      <c r="E9" t="inlineStr">
        <is>
          <t>people/yr</t>
        </is>
      </c>
      <c r="F9" t="inlineStr"/>
    </row>
    <row r="10">
      <c r="A10" t="inlineStr">
        <is>
          <t>Delivery_Radius_miles_max</t>
        </is>
      </c>
      <c r="B10" t="n">
        <v>10</v>
      </c>
      <c r="C10" t="n">
        <v>15</v>
      </c>
      <c r="D10" t="n">
        <v>15</v>
      </c>
      <c r="E10" t="inlineStr">
        <is>
          <t>miles</t>
        </is>
      </c>
      <c r="F10" t="inlineStr"/>
    </row>
    <row r="11">
      <c r="A11" t="inlineStr">
        <is>
          <t>Selected_Phase</t>
        </is>
      </c>
      <c r="B11" t="inlineStr">
        <is>
          <t>0.8</t>
        </is>
      </c>
      <c r="C11" t="inlineStr">
        <is>
          <t>Valid values: 0.8, 1,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Factor_Name</t>
        </is>
      </c>
      <c r="B1" s="3" t="inlineStr">
        <is>
          <t>Suggested_Source</t>
        </is>
      </c>
      <c r="C1" s="3" t="inlineStr">
        <is>
          <t>URL_or_Document</t>
        </is>
      </c>
      <c r="D1" s="3" t="inlineStr">
        <is>
          <t>Notes</t>
        </is>
      </c>
    </row>
    <row r="2">
      <c r="A2" t="inlineStr">
        <is>
          <t>gCO2e_per_mile_van</t>
        </is>
      </c>
      <c r="B2" t="inlineStr">
        <is>
          <t>EPA or DEFRA emission factors</t>
        </is>
      </c>
      <c r="C2" t="inlineStr"/>
      <c r="D2" t="inlineStr">
        <is>
          <t>Match vehicle class</t>
        </is>
      </c>
    </row>
    <row r="3">
      <c r="A3" t="inlineStr">
        <is>
          <t>gCO2e_per_mile_EV</t>
        </is>
      </c>
      <c r="B3" t="inlineStr">
        <is>
          <t>Utility/ISO marginal intensity + EV efficiency</t>
        </is>
      </c>
      <c r="C3" t="inlineStr"/>
      <c r="D3" t="inlineStr">
        <is>
          <t>Localize if possible</t>
        </is>
      </c>
    </row>
    <row r="4">
      <c r="A4" t="inlineStr">
        <is>
          <t>kgCO2e_per_kg_organic</t>
        </is>
      </c>
      <c r="B4" t="inlineStr">
        <is>
          <t>EPA WARM / peer-reviewed compost factors</t>
        </is>
      </c>
      <c r="C4" t="inlineStr"/>
      <c r="D4" t="inlineStr">
        <is>
          <t>Use diversion-to-compost or substrate reuse</t>
        </is>
      </c>
    </row>
    <row r="5">
      <c r="A5" t="inlineStr">
        <is>
          <t>kgCO2e_per_kWh_grid</t>
        </is>
      </c>
      <c r="B5" t="inlineStr">
        <is>
          <t>Utility renewable content report / eGrid</t>
        </is>
      </c>
      <c r="C5" t="inlineStr"/>
      <c r="D5" t="inlineStr">
        <is>
          <t>Annual average or 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ABCFarmsIL — MRV Kit (How to Use)</t>
        </is>
      </c>
    </row>
    <row r="3">
      <c r="A3" t="inlineStr">
        <is>
          <t>1) Enter logs in Harvest, Deliveries, Diversion, Energy, Water, and Workforce tabs.</t>
        </is>
      </c>
    </row>
    <row r="4">
      <c r="A4" t="inlineStr">
        <is>
          <t>2) Update factor values on the Factors tab; then record source links on Factor_Sources.</t>
        </is>
      </c>
    </row>
    <row r="5">
      <c r="A5" t="inlineStr">
        <is>
          <t>3) Select your current phase in Config!B11</t>
        </is>
      </c>
    </row>
    <row r="6">
      <c r="A6" t="inlineStr">
        <is>
          <t>4) Monthly_Rollup will compute KPI values and show whether you are meeting phase targets.</t>
        </is>
      </c>
    </row>
    <row r="7">
      <c r="A7" t="inlineStr">
        <is>
          <t>5) Keep PDFs/CSVs of bills and logs as verification artifacts (see Metrics Dictionary).</t>
        </is>
      </c>
    </row>
    <row r="8">
      <c r="A8" t="inlineStr">
        <is>
          <t>Tip: Vehicle_Type is validated (Van/EV/Bike/Cargo_Bike/Car). Miles and kWh must be non-negative.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BatchID</t>
        </is>
      </c>
      <c r="C1" s="1" t="inlineStr">
        <is>
          <t>Trays_Harvested</t>
        </is>
      </c>
      <c r="D1" s="1" t="inlineStr">
        <is>
          <t>Sellable_Trays</t>
        </is>
      </c>
      <c r="E1" s="1" t="inlineStr">
        <is>
          <t>Photo_Proof</t>
        </is>
      </c>
      <c r="F1" s="1" t="inlineStr">
        <is>
          <t>InvoiceID</t>
        </is>
      </c>
      <c r="G1" s="1" t="inlineStr">
        <is>
          <t>Month</t>
        </is>
      </c>
    </row>
    <row r="2">
      <c r="A2" s="2" t="n">
        <v>46023</v>
      </c>
      <c r="B2" t="inlineStr">
        <is>
          <t>H-001</t>
        </is>
      </c>
      <c r="C2" t="n">
        <v>20</v>
      </c>
      <c r="D2" t="n">
        <v>20</v>
      </c>
      <c r="E2" t="inlineStr">
        <is>
          <t>Y</t>
        </is>
      </c>
      <c r="F2" t="inlineStr">
        <is>
          <t>INV-1001</t>
        </is>
      </c>
      <c r="G2" t="inlineStr">
        <is>
          <t>2026-01</t>
        </is>
      </c>
    </row>
    <row r="3">
      <c r="A3" s="2" t="n">
        <v>46030</v>
      </c>
      <c r="B3" t="inlineStr">
        <is>
          <t>H-002</t>
        </is>
      </c>
      <c r="C3" t="n">
        <v>20</v>
      </c>
      <c r="D3" t="n">
        <v>19</v>
      </c>
      <c r="E3" t="inlineStr">
        <is>
          <t>Y</t>
        </is>
      </c>
      <c r="F3" t="inlineStr">
        <is>
          <t>INV-1002</t>
        </is>
      </c>
      <c r="G3" t="inlineStr">
        <is>
          <t>2026-01</t>
        </is>
      </c>
    </row>
    <row r="4">
      <c r="A4" s="2" t="n">
        <v>46037</v>
      </c>
      <c r="B4" t="inlineStr">
        <is>
          <t>H-003</t>
        </is>
      </c>
      <c r="C4" t="n">
        <v>20</v>
      </c>
      <c r="D4" t="n">
        <v>20</v>
      </c>
      <c r="E4" t="inlineStr">
        <is>
          <t>Y</t>
        </is>
      </c>
      <c r="F4" t="inlineStr">
        <is>
          <t>INV-1003</t>
        </is>
      </c>
      <c r="G4" t="inlineStr">
        <is>
          <t>2026-01</t>
        </is>
      </c>
    </row>
    <row r="5">
      <c r="A5" s="2" t="n">
        <v>46044</v>
      </c>
      <c r="B5" t="inlineStr">
        <is>
          <t>H-004</t>
        </is>
      </c>
      <c r="C5" t="n">
        <v>20</v>
      </c>
      <c r="D5" t="n">
        <v>20</v>
      </c>
      <c r="E5" t="inlineStr">
        <is>
          <t>Y</t>
        </is>
      </c>
      <c r="F5" t="inlineStr">
        <is>
          <t>INV-1004</t>
        </is>
      </c>
      <c r="G5" t="inlineStr">
        <is>
          <t>2026-01</t>
        </is>
      </c>
    </row>
  </sheetData>
  <dataValidations count="2">
    <dataValidation sqref="C2:C2000 D2:D2000" showDropDown="0" showInputMessage="0" showErrorMessage="0" allowBlank="1" type="whole" operator="greaterThanOrEqual">
      <formula1>0</formula1>
    </dataValidation>
    <dataValidation sqref="C2:C2000 D2:D2000" showDropDown="0" showInputMessage="0" showErrorMessage="0" allowBlank="1" type="whole" operator="greaterThanOrEqual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OrderID</t>
        </is>
      </c>
      <c r="C1" s="1" t="inlineStr">
        <is>
          <t>Miles_OneWay</t>
        </is>
      </c>
      <c r="D1" s="1" t="inlineStr">
        <is>
          <t>Vehicle_Type</t>
        </is>
      </c>
      <c r="E1" s="1" t="inlineStr">
        <is>
          <t>Month</t>
        </is>
      </c>
    </row>
    <row r="2">
      <c r="A2" s="2" t="n">
        <v>46024</v>
      </c>
      <c r="B2" t="inlineStr">
        <is>
          <t>ORD-1</t>
        </is>
      </c>
      <c r="C2" t="n">
        <v>6.5</v>
      </c>
      <c r="D2" t="inlineStr">
        <is>
          <t>Van</t>
        </is>
      </c>
      <c r="E2" t="inlineStr">
        <is>
          <t>2026-01</t>
        </is>
      </c>
    </row>
    <row r="3">
      <c r="A3" s="2" t="n">
        <v>46031</v>
      </c>
      <c r="B3" t="inlineStr">
        <is>
          <t>ORD-2</t>
        </is>
      </c>
      <c r="C3" t="n">
        <v>8.199999999999999</v>
      </c>
      <c r="D3" t="inlineStr">
        <is>
          <t>Van</t>
        </is>
      </c>
      <c r="E3" t="inlineStr">
        <is>
          <t>2026-01</t>
        </is>
      </c>
    </row>
    <row r="4">
      <c r="A4" s="2" t="n">
        <v>46038</v>
      </c>
      <c r="B4" t="inlineStr">
        <is>
          <t>ORD-3</t>
        </is>
      </c>
      <c r="C4" t="n">
        <v>7.9</v>
      </c>
      <c r="D4" t="inlineStr">
        <is>
          <t>EV</t>
        </is>
      </c>
      <c r="E4" t="inlineStr">
        <is>
          <t>2026-01</t>
        </is>
      </c>
    </row>
    <row r="5">
      <c r="A5" s="2" t="n">
        <v>46045</v>
      </c>
      <c r="B5" t="inlineStr">
        <is>
          <t>ORD-4</t>
        </is>
      </c>
      <c r="C5" t="n">
        <v>9.1</v>
      </c>
      <c r="D5" t="inlineStr">
        <is>
          <t>Van</t>
        </is>
      </c>
      <c r="E5" t="inlineStr">
        <is>
          <t>2026-01</t>
        </is>
      </c>
    </row>
  </sheetData>
  <dataValidations count="2">
    <dataValidation sqref="D2:D2000" showDropDown="0" showInputMessage="0" showErrorMessage="1" allowBlank="1" type="list">
      <formula1>"Van,EV,Bike,Cargo_Bike,Car"</formula1>
    </dataValidation>
    <dataValidation sqref="C2:C2000" showDropDown="0" showInputMessage="0" showErrorMessage="0" allowBlank="1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Mass_kg</t>
        </is>
      </c>
      <c r="D1" s="1" t="inlineStr">
        <is>
          <t>Month</t>
        </is>
      </c>
    </row>
    <row r="2">
      <c r="A2" s="2" t="n">
        <v>46028</v>
      </c>
      <c r="B2" t="inlineStr">
        <is>
          <t>Plant trimmings</t>
        </is>
      </c>
      <c r="C2" t="n">
        <v>25</v>
      </c>
      <c r="D2" t="inlineStr">
        <is>
          <t>2026-01</t>
        </is>
      </c>
    </row>
    <row r="3">
      <c r="A3" s="2" t="n">
        <v>46043</v>
      </c>
      <c r="B3" t="inlineStr">
        <is>
          <t>Spent substrate</t>
        </is>
      </c>
      <c r="C3" t="n">
        <v>30</v>
      </c>
      <c r="D3" t="inlineStr">
        <is>
          <t>2026-01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Inverter_kWh</t>
        </is>
      </c>
      <c r="C1" s="1" t="inlineStr">
        <is>
          <t>Utility_kWh</t>
        </is>
      </c>
    </row>
    <row r="2">
      <c r="A2" t="inlineStr">
        <is>
          <t>2026-01</t>
        </is>
      </c>
      <c r="B2" t="n">
        <v>350</v>
      </c>
      <c r="C2" t="n">
        <v>500</v>
      </c>
    </row>
  </sheetData>
  <dataValidations count="1">
    <dataValidation sqref="B2:B2000 C2:C2000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Recirc_Volume_L</t>
        </is>
      </c>
      <c r="C1" s="1" t="inlineStr">
        <is>
          <t>Makeup_Volume_L</t>
        </is>
      </c>
    </row>
    <row r="2">
      <c r="A2" t="inlineStr">
        <is>
          <t>2026-01</t>
        </is>
      </c>
      <c r="B2" t="n">
        <v>9000</v>
      </c>
      <c r="C2" t="n">
        <v>6000</v>
      </c>
    </row>
  </sheetData>
  <dataValidations count="1">
    <dataValidation sqref="B2:B2000 C2:C2000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Paid_Hours</t>
        </is>
      </c>
      <c r="C1" s="1" t="inlineStr">
        <is>
          <t>FTE_Calc</t>
        </is>
      </c>
      <c r="D1" s="1" t="inlineStr">
        <is>
          <t>Youth_Trained_This_Qtr</t>
        </is>
      </c>
    </row>
    <row r="2">
      <c r="A2" t="inlineStr">
        <is>
          <t>2026-Q1</t>
        </is>
      </c>
      <c r="B2" t="n">
        <v>260</v>
      </c>
      <c r="C2">
        <f>Paid_Hours/520</f>
        <v/>
      </c>
      <c r="D2" t="n">
        <v>1</v>
      </c>
    </row>
  </sheetData>
  <dataValidations count="2">
    <dataValidation sqref="B2:B2000" showDropDown="0" showInputMessage="0" showErrorMessage="0" allowBlank="1" type="decimal" operator="greaterThanOrEqual">
      <formula1>0</formula1>
    </dataValidation>
    <dataValidation sqref="D2:D2000" showDropDown="0" showInputMessage="0" showErrorMessage="0" allowBlank="1" type="whole" operator="greaterThanOrEqual">
      <formula1>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Factor_Name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Notes</t>
        </is>
      </c>
    </row>
    <row r="2">
      <c r="A2" t="inlineStr">
        <is>
          <t>gCO2e_per_mile_van</t>
        </is>
      </c>
      <c r="B2" t="n">
        <v>404</v>
      </c>
      <c r="C2" t="inlineStr">
        <is>
          <t>gCO2e/mile</t>
        </is>
      </c>
      <c r="D2" t="inlineStr">
        <is>
          <t>Source placeholder—replace with local/utility factors</t>
        </is>
      </c>
    </row>
    <row r="3">
      <c r="A3" t="inlineStr">
        <is>
          <t>gCO2e_per_mile_EV</t>
        </is>
      </c>
      <c r="B3" t="n">
        <v>100</v>
      </c>
      <c r="C3" t="inlineStr">
        <is>
          <t>gCO2e/mile</t>
        </is>
      </c>
      <c r="D3" t="inlineStr">
        <is>
          <t>EV placeholder</t>
        </is>
      </c>
    </row>
    <row r="4">
      <c r="A4" t="inlineStr">
        <is>
          <t>kgCO2e_per_kg_organic</t>
        </is>
      </c>
      <c r="B4" t="n">
        <v>1.9</v>
      </c>
      <c r="C4" t="inlineStr">
        <is>
          <t>kgCO2e/kg</t>
        </is>
      </c>
      <c r="D4" t="inlineStr">
        <is>
          <t>Compost diversion placeholder</t>
        </is>
      </c>
    </row>
    <row r="5">
      <c r="A5" t="inlineStr">
        <is>
          <t>kgCO2e_per_kWh_grid</t>
        </is>
      </c>
      <c r="B5" t="n">
        <v>0.4</v>
      </c>
      <c r="C5" t="inlineStr">
        <is>
          <t>kgCO2e/kWh</t>
        </is>
      </c>
      <c r="D5" t="inlineStr">
        <is>
          <t>Utility grid intensity placeholder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Value_tCO2e</t>
        </is>
      </c>
    </row>
    <row r="2">
      <c r="A2" t="inlineStr">
        <is>
          <t>Transport_Avoided_tCO2e</t>
        </is>
      </c>
      <c r="B2">
        <f>SUMPRODUCT(Deliveries!C2:C5,IF(Deliveries!D2:D5="EV",Factors!B3/1000,Factors!B2/1000))/1000</f>
        <v/>
      </c>
    </row>
    <row r="3">
      <c r="A3" t="inlineStr">
        <is>
          <t>Diversion_tCO2e</t>
        </is>
      </c>
      <c r="B3">
        <f>SUM(Diversion!C2:C3)*Factors!B4/1000</f>
        <v/>
      </c>
    </row>
    <row r="4">
      <c r="A4" t="inlineStr">
        <is>
          <t>Renewables_Displacement_tCO2e</t>
        </is>
      </c>
      <c r="B4">
        <f>Energy!B2*Factors!B5/1000</f>
        <v/>
      </c>
    </row>
    <row r="5">
      <c r="A5" t="inlineStr">
        <is>
          <t>Operational_Energy_tCO2e</t>
        </is>
      </c>
      <c r="B5">
        <f>Energy!C2*Factors!B5/1000</f>
        <v/>
      </c>
    </row>
    <row r="6">
      <c r="A6" t="inlineStr">
        <is>
          <t>Net_tCO2e</t>
        </is>
      </c>
      <c r="B6">
        <f>B2+B3+B4-B5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Trays_Sellable</t>
        </is>
      </c>
      <c r="C1" s="1" t="inlineStr">
        <is>
          <t>Carbon_tCO2e</t>
        </is>
      </c>
      <c r="D1" s="1" t="inlineStr">
        <is>
          <t>Water_Reuse_%</t>
        </is>
      </c>
      <c r="E1" s="1" t="inlineStr">
        <is>
          <t>Renewable_Energy_%</t>
        </is>
      </c>
      <c r="F1" s="1" t="inlineStr">
        <is>
          <t>Jobs_FTE_Qtr</t>
        </is>
      </c>
      <c r="G1" s="1" t="inlineStr">
        <is>
          <t>Youth_Trained_Qtr</t>
        </is>
      </c>
      <c r="H1" s="1" t="inlineStr">
        <is>
          <t>Max_Delivery_Miles</t>
        </is>
      </c>
      <c r="J1" s="3" t="inlineStr">
        <is>
          <t>Selected Phase</t>
        </is>
      </c>
      <c r="K1" s="3" t="inlineStr">
        <is>
          <t>Microgreens Target (low)</t>
        </is>
      </c>
      <c r="L1" s="3" t="inlineStr">
        <is>
          <t>Microgreens Target (high)</t>
        </is>
      </c>
      <c r="M1" s="3" t="inlineStr">
        <is>
          <t>Carbon Target (tCO2e/yr)</t>
        </is>
      </c>
      <c r="N1" s="3" t="inlineStr">
        <is>
          <t>Renewables Target (low %)</t>
        </is>
      </c>
      <c r="O1" s="3" t="inlineStr">
        <is>
          <t>Renewables Target (high %)</t>
        </is>
      </c>
      <c r="P1" s="3" t="inlineStr">
        <is>
          <t>Youth/Year Target</t>
        </is>
      </c>
      <c r="Q1" s="3" t="inlineStr">
        <is>
          <t>Delivery Radius Max (mi)</t>
        </is>
      </c>
      <c r="R1" s="3" t="inlineStr">
        <is>
          <t>Microgreens In-Range?</t>
        </is>
      </c>
      <c r="S1" s="3" t="inlineStr">
        <is>
          <t>Carbon ≥ Target?</t>
        </is>
      </c>
      <c r="T1" s="3" t="inlineStr">
        <is>
          <t>Renewables In-Range?</t>
        </is>
      </c>
      <c r="U1" s="3" t="inlineStr">
        <is>
          <t>Youth ≥ Target?</t>
        </is>
      </c>
      <c r="V1" s="3" t="inlineStr">
        <is>
          <t>Delivery ≤ Max?</t>
        </is>
      </c>
    </row>
    <row r="2">
      <c r="A2" t="inlineStr">
        <is>
          <t>2026-01</t>
        </is>
      </c>
      <c r="B2">
        <f>SUMIFS(Harvest!D:D,Harvest!G:G,A2)</f>
        <v/>
      </c>
      <c r="C2">
        <f>Carbon_Calc!B2</f>
        <v/>
      </c>
      <c r="D2">
        <f>ROUND(Water!B2/(Water!B2+Water!C2)*100,1)</f>
        <v/>
      </c>
      <c r="E2">
        <f>ROUND(Energy!B2/(Energy!B2+Energy!C2)*100,1)</f>
        <v/>
      </c>
      <c r="F2">
        <f>Workforce!C2</f>
        <v/>
      </c>
      <c r="G2">
        <f>Workforce!D2</f>
        <v/>
      </c>
      <c r="H2">
        <f>MAX(Deliveries!C:C)</f>
        <v/>
      </c>
      <c r="J2">
        <f>Config!B11</f>
        <v/>
      </c>
      <c r="K2">
        <f>IF(J2="0.8",Config!B2,IF(J2="1",Config!C2,Config!D2))</f>
        <v/>
      </c>
      <c r="L2">
        <f>IF(J2="0.8",Config!B3,IF(J2="1",Config!C3,Config!D3))</f>
        <v/>
      </c>
      <c r="M2">
        <f>IF(J2="0.8",Config!B4,IF(J2="1",Config!C4,Config!D4))</f>
        <v/>
      </c>
      <c r="N2">
        <f>IF(J2="0.8",Config!B7,IF(J2="1",Config!C7,Config!D7))</f>
        <v/>
      </c>
      <c r="O2">
        <f>IF(J2="0.8",Config!B8,IF(J2="1",Config!C8,Config!D8))</f>
        <v/>
      </c>
      <c r="P2">
        <f>IF(J2="0.8",Config!B9,IF(J2="1",Config!C9,Config!D9))</f>
        <v/>
      </c>
      <c r="Q2">
        <f>IF(J2="0.8",Config!B10,IF(J2="1",Config!C10,Config!D10))</f>
        <v/>
      </c>
      <c r="R2">
        <f>AND(B2&gt;=K2,B2&lt;=L2)</f>
        <v/>
      </c>
      <c r="S2">
        <f>C2&gt;=M2</f>
        <v/>
      </c>
      <c r="T2">
        <f>AND(D2&gt;=N2,D2&lt;=O2)</f>
        <v/>
      </c>
      <c r="U2">
        <f>G2&gt;=P2</f>
        <v/>
      </c>
      <c r="V2">
        <f>H2&lt;=Q2</f>
        <v/>
      </c>
    </row>
  </sheetData>
  <conditionalFormatting sqref="R2:R200">
    <cfRule type="expression" priority="1" stopIfTrue="1">
      <formula>R2=TRUE</formula>
    </cfRule>
  </conditionalFormatting>
  <conditionalFormatting sqref="S2:S200">
    <cfRule type="expression" priority="2" stopIfTrue="1">
      <formula>S2=TRUE</formula>
    </cfRule>
  </conditionalFormatting>
  <conditionalFormatting sqref="T2:T200">
    <cfRule type="expression" priority="3" stopIfTrue="1">
      <formula>T2=TRUE</formula>
    </cfRule>
  </conditionalFormatting>
  <conditionalFormatting sqref="U2:U200">
    <cfRule type="expression" priority="4" stopIfTrue="1">
      <formula>U2=TRUE</formula>
    </cfRule>
  </conditionalFormatting>
  <conditionalFormatting sqref="V2:V200">
    <cfRule type="expression" priority="5" stopIfTrue="1">
      <formula>V2=TRUE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2026-01-29T07:38:33Z</dcterms:created>
  <dcterms:modified xmlns:dcterms="http://purl.org/dc/terms/" xmlns:xsi="http://www.w3.org/2001/XMLSchema-instance" xsi:type="dcterms:W3CDTF">2026-01-29T07:39:42Z</dcterms:modified>
</cp:coreProperties>
</file>