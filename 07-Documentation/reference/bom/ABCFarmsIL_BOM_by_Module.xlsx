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4d4ff3ec7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fc1c2982cf4387"/>
    <x:sheet xmlns:r="http://schemas.openxmlformats.org/officeDocument/2006/relationships" name="BOM_All" sheetId="2" r:id="R2a0a979f0ec3406a"/>
    <x:sheet xmlns:r="http://schemas.openxmlformats.org/officeDocument/2006/relationships" name="Clean_Water" sheetId="3" r:id="R55d4b96d34d74fa9"/>
    <x:sheet xmlns:r="http://schemas.openxmlformats.org/officeDocument/2006/relationships" name="Production" sheetId="4" r:id="Re13ba13237184e27"/>
    <x:sheet xmlns:r="http://schemas.openxmlformats.org/officeDocument/2006/relationships" name="Boundary" sheetId="5" r:id="Rdab743c4b158432d"/>
    <x:sheet xmlns:r="http://schemas.openxmlformats.org/officeDocument/2006/relationships" name="Recovery_Biology" sheetId="6" r:id="Rcbffc8ffda804c7e"/>
    <x:sheet xmlns:r="http://schemas.openxmlformats.org/officeDocument/2006/relationships" name="Dome" sheetId="7" r:id="Rf8c174ffccc94c13"/>
    <x:sheet xmlns:r="http://schemas.openxmlformats.org/officeDocument/2006/relationships" name="Sources" sheetId="8" r:id="R690a34e1aa384ce6"/>
  </x:sheets>
  <x:definedNames>
    <x:definedName name="_xlnm._FilterDatabase" localSheetId="1" hidden="1">'BOM_All'!$A$1:$L$1</x:definedName>
    <x:definedName name="_xlnm._FilterDatabase" localSheetId="2" hidden="1">'Clean_Water'!$A$1:$L$1</x:definedName>
    <x:definedName name="_xlnm._FilterDatabase" localSheetId="3" hidden="1">'Production'!$A$1:$L$1</x:definedName>
    <x:definedName name="_xlnm._FilterDatabase" localSheetId="4" hidden="1">'Boundary'!$A$1:$L$1</x:definedName>
    <x:definedName name="_xlnm._FilterDatabase" localSheetId="5" hidden="1">'Recovery_Biology'!$A$1:$L$1</x:definedName>
    <x:definedName name="_xlnm._FilterDatabase" localSheetId="6" hidden="1">'Dome'!$A$1:$L$1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.00"/>
  </x:numFmts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color rgb="001D4ED8"/>
    </x:font>
    <x:font>
      <x:b/>
      <x:sz val="14"/>
    </x:font>
    <x:font>
      <x:b/>
    </x:font>
    <x:font>
      <x:b/>
      <x:sz val="12"/>
    </x:font>
  </x:fonts>
  <x:fills count="4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E5E7EB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0" borderId="0" xfId="0"/>
    <x:xf numFmtId="0" fontId="4" fillId="0" borderId="0" xfId="0"/>
    <x:xf numFmtId="0" fontId="0" fillId="0" borderId="0" xfId="0" applyAlignment="1">
      <x:alignment vertical="top" wrapText="1"/>
    </x:xf>
    <x:xf numFmtId="0" fontId="4" fillId="3" borderId="1" xfId="0" applyAlignment="1">
      <x:alignment horizontal="center" vertical="center"/>
    </x:xf>
    <x:xf numFmtId="0" fontId="0" fillId="0" borderId="1" xfId="0" applyAlignment="1">
      <x:alignment horizontal="left" vertical="top" wrapText="1"/>
    </x:xf>
    <x:xf numFmtId="164" fontId="0" fillId="0" borderId="1" xfId="0" applyAlignment="1">
      <x:alignment horizontal="center" vertical="top" wrapText="1"/>
    </x:xf>
    <x:xf numFmtId="0" fontId="4" fillId="0" borderId="1" xfId="0" applyAlignment="1">
      <x:alignment horizontal="left" vertical="top" wrapText="1"/>
    </x:xf>
    <x:xf numFmtId="164" fontId="4" fillId="0" borderId="1" xfId="0" applyAlignment="1">
      <x:alignment horizontal="center" vertical="top"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164" fontId="2" fillId="0" borderId="1" xfId="0" applyAlignment="1">
      <x:alignment horizontal="center" vertical="top" wrapText="1"/>
    </x:xf>
    <x:xf numFmtId="1" fontId="0" fillId="0" borderId="1" xfId="0" applyAlignment="1">
      <x:alignment horizontal="center" vertical="top" wrapText="1"/>
    </x:xf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12f7f3d37452c" /><Relationship Type="http://schemas.openxmlformats.org/officeDocument/2006/relationships/theme" Target="/xl/theme/theme1.xml" Id="R76037b0bcd7c4bee" /><Relationship Type="http://schemas.openxmlformats.org/officeDocument/2006/relationships/sharedStrings" Target="/xl/sharedStrings.xml" Id="Rc05a67d2bdfd4f7a" /><Relationship Type="http://schemas.openxmlformats.org/officeDocument/2006/relationships/worksheet" Target="/xl/worksheets/sheet1.xml" Id="Rcafc1c2982cf4387" /><Relationship Type="http://schemas.openxmlformats.org/officeDocument/2006/relationships/worksheet" Target="/xl/worksheets/sheet2.xml" Id="R2a0a979f0ec3406a" /><Relationship Type="http://schemas.openxmlformats.org/officeDocument/2006/relationships/worksheet" Target="/xl/worksheets/sheet3.xml" Id="R55d4b96d34d74fa9" /><Relationship Type="http://schemas.openxmlformats.org/officeDocument/2006/relationships/worksheet" Target="/xl/worksheets/sheet4.xml" Id="Re13ba13237184e27" /><Relationship Type="http://schemas.openxmlformats.org/officeDocument/2006/relationships/worksheet" Target="/xl/worksheets/sheet5.xml" Id="Rdab743c4b158432d" /><Relationship Type="http://schemas.openxmlformats.org/officeDocument/2006/relationships/worksheet" Target="/xl/worksheets/sheet6.xml" Id="Rcbffc8ffda804c7e" /><Relationship Type="http://schemas.openxmlformats.org/officeDocument/2006/relationships/worksheet" Target="/xl/worksheets/sheet7.xml" Id="Rf8c174ffccc94c13" /><Relationship Type="http://schemas.openxmlformats.org/officeDocument/2006/relationships/worksheet" Target="/xl/worksheets/sheet8.xml" Id="R690a34e1aa384ce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customWidth="1"/>
    <x:col min="2" max="2" width="22" customWidth="1"/>
  </x:cols>
  <x:sheetData>
    <x:row r="1" ht="18" customHeight="1">
      <x:c r="A1" s="1" t="inlineStr">
        <x:is>
          <x:t xml:space="preserve">ABCFarmsIL — BOM Summary</x:t>
        </x:is>
      </x:c>
    </x:row>
    <x:row r="2" ht="18" customHeight="1"/>
    <x:row r="3" ht="18" customHeight="1">
      <x:c r="A3" s="2" t="inlineStr">
        <x:is>
          <x:t xml:space="preserve">How to use:</x:t>
        </x:is>
      </x:c>
    </x:row>
    <x:row r="4" ht="18" customHeight="1">
      <x:c r="A4" s="3" t="inlineStr">
        <x:is>
          <x:t xml:space="preserve">Fill in 'Est Unit Cost ($)' (blue) on BOM sheets. 'Est Total ($)' auto-calculates where Qty is numeric.</x:t>
        </x:is>
      </x:c>
    </x:row>
    <x:row r="5" ht="18" customHeight="1"/>
    <x:row r="6" ht="18" customHeight="1">
      <x:c r="A6" s="2" t="inlineStr">
        <x:is>
          <x:t xml:space="preserve">Total Estimated Cost by Package</x:t>
        </x:is>
      </x:c>
    </x:row>
    <x:row r="7" ht="18" customHeight="1">
      <x:c r="A7" s="4" t="inlineStr">
        <x:is>
          <x:t xml:space="preserve">Package</x:t>
        </x:is>
      </x:c>
      <x:c r="B7" s="4" t="inlineStr">
        <x:is>
          <x:t xml:space="preserve">Estimated Total ($)</x:t>
        </x:is>
      </x:c>
    </x:row>
    <x:row r="8" ht="18" customHeight="1">
      <x:c r="A8" s="5" t="inlineStr">
        <x:is>
          <x:t xml:space="preserve">Clean Water</x:t>
        </x:is>
      </x:c>
      <x:c r="B8" s="6">
        <x:f>SUMIF(BOM_All!A:A,"Clean Water",BOM_All!K:K)</x:f>
        <x:v>0</x:v>
      </x:c>
    </x:row>
    <x:row r="9" ht="18" customHeight="1">
      <x:c r="A9" s="5" t="inlineStr">
        <x:is>
          <x:t xml:space="preserve">Production</x:t>
        </x:is>
      </x:c>
      <x:c r="B9" s="6">
        <x:f>SUMIF(BOM_All!A:A,"Production",BOM_All!K:K)</x:f>
        <x:v>0</x:v>
      </x:c>
    </x:row>
    <x:row r="10" ht="18" customHeight="1">
      <x:c r="A10" s="5" t="inlineStr">
        <x:is>
          <x:t xml:space="preserve">Boundary</x:t>
        </x:is>
      </x:c>
      <x:c r="B10" s="6">
        <x:f>SUMIF(BOM_All!A:A,"Boundary",BOM_All!K:K)</x:f>
        <x:v>0</x:v>
      </x:c>
    </x:row>
    <x:row r="11" ht="18" customHeight="1">
      <x:c r="A11" s="5" t="inlineStr">
        <x:is>
          <x:t xml:space="preserve">Recovery &amp; Biology</x:t>
        </x:is>
      </x:c>
      <x:c r="B11" s="6">
        <x:f>SUMIF(BOM_All!A:A,"Recovery &amp; Biology",BOM_All!K:K)</x:f>
        <x:v>0</x:v>
      </x:c>
    </x:row>
    <x:row r="12" ht="18" customHeight="1">
      <x:c r="A12" s="5" t="inlineStr">
        <x:is>
          <x:t xml:space="preserve">Dome</x:t>
        </x:is>
      </x:c>
      <x:c r="B12" s="6">
        <x:f>SUMIF(BOM_All!A:A,"Dome",BOM_All!K:K)</x:f>
        <x:v>0</x:v>
      </x:c>
    </x:row>
    <x:row r="13" ht="18" customHeight="1">
      <x:c r="A13" s="7" t="inlineStr">
        <x:is>
          <x:t xml:space="preserve">Total Estimated Cost by Supplier Class</x:t>
        </x:is>
      </x:c>
      <x:c r="B13" s="8">
        <x:f>SUM(B8:B12)</x:f>
        <x:v>0</x:v>
      </x:c>
    </x:row>
    <x:row r="14" ht="18" customHeight="1">
      <x:c r="A14" s="4" t="inlineStr">
        <x:is>
          <x:t xml:space="preserve">Supplier Class</x:t>
        </x:is>
      </x:c>
      <x:c r="B14" s="4" t="inlineStr">
        <x:is>
          <x:t xml:space="preserve">Estimated Total ($)</x:t>
        </x:is>
      </x:c>
    </x:row>
    <x:row r="15" ht="18" customHeight="1">
      <x:c r="A15" s="5" t="inlineStr">
        <x:is>
          <x:t xml:space="preserve">Controls/Electrical</x:t>
        </x:is>
      </x:c>
      <x:c r="B15" s="6">
        <x:f>SUMIF(BOM_All!H:H,"Controls/Electrical",BOM_All!K:K)</x:f>
        <x:v>0</x:v>
      </x:c>
    </x:row>
    <x:row r="16" ht="18" customHeight="1">
      <x:c r="A16" s="5" t="inlineStr">
        <x:is>
          <x:t xml:space="preserve">Electrical</x:t>
        </x:is>
      </x:c>
      <x:c r="B16" s="6">
        <x:f>SUMIF(BOM_All!H:H,"Electrical",BOM_All!K:K)</x:f>
        <x:v>0</x:v>
      </x:c>
    </x:row>
    <x:row r="17" ht="18" customHeight="1">
      <x:c r="A17" s="5" t="inlineStr">
        <x:is>
          <x:t xml:space="preserve">Food-safety</x:t>
        </x:is>
      </x:c>
      <x:c r="B17" s="6">
        <x:f>SUMIF(BOM_All!H:H,"Food-safety",BOM_All!K:K)</x:f>
        <x:v>0</x:v>
      </x:c>
    </x:row>
    <x:row r="18" ht="18" customHeight="1">
      <x:c r="A18" s="5" t="inlineStr">
        <x:is>
          <x:t xml:space="preserve">HVAC</x:t>
        </x:is>
      </x:c>
      <x:c r="B18" s="6">
        <x:f>SUMIF(BOM_All!H:H,"HVAC",BOM_All!K:K)</x:f>
        <x:v>0</x:v>
      </x:c>
    </x:row>
    <x:row r="19" ht="18" customHeight="1">
      <x:c r="A19" s="5" t="inlineStr">
        <x:is>
          <x:t xml:space="preserve">Plumbing</x:t>
        </x:is>
      </x:c>
      <x:c r="B19" s="6">
        <x:f>SUMIF(BOM_All!H:H,"Plumbing",BOM_All!K:K)</x:f>
        <x:v>0</x:v>
      </x:c>
    </x:row>
    <x:row r="20" ht="18" customHeight="1">
      <x:c r="A20" s="5" t="inlineStr">
        <x:is>
          <x:t xml:space="preserve">Plumbing/Electrical</x:t>
        </x:is>
      </x:c>
      <x:c r="B20" s="6">
        <x:f>SUMIF(BOM_All!H:H,"Plumbing/Electrical",BOM_All!K:K)</x:f>
        <x:v>0</x:v>
      </x:c>
    </x:row>
    <x:row r="21" ht="18" customHeight="1">
      <x:c r="A21" s="5" t="inlineStr">
        <x:is>
          <x:t xml:space="preserve">Solar/Thermal</x:t>
        </x:is>
      </x:c>
      <x:c r="B21" s="6">
        <x:f>SUMIF(BOM_All!H:H,"Solar/Thermal",BOM_All!K:K)</x:f>
        <x:v>0</x:v>
      </x:c>
    </x:row>
    <x:row r="22" ht="18" customHeight="1">
      <x:c r="A22" s="5" t="inlineStr">
        <x:is>
          <x:t xml:space="preserve">Structural</x:t>
        </x:is>
      </x:c>
      <x:c r="B22" s="6">
        <x:f>SUMIF(BOM_All!H:H,"Structural",BOM_All!K:K)</x:f>
        <x:v>0</x:v>
      </x:c>
    </x:row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Clean Water</x:t>
        </x:is>
      </x:c>
      <x:c r="B2" s="5" t="inlineStr">
        <x:is>
          <x:t xml:space="preserve">Shared Infrastructure</x:t>
        </x:is>
      </x:c>
      <x:c r="C2" s="5" t="inlineStr">
        <x:is>
          <x:t xml:space="preserve">Rain Collection</x:t>
        </x:is>
      </x:c>
      <x:c r="D2" s="5" t="inlineStr">
        <x:is>
          <x:t xml:space="preserve">Gutters + downspouts (6 roofs)</x:t>
        </x:is>
      </x:c>
      <x:c r="E2" s="5" t="inlineStr">
        <x:is>
          <x:t xml:space="preserve">Sized for roof area; include debris guards</x:t>
        </x:is>
      </x:c>
      <x:c r="F2" s="10" t="inlineStr">
        <x:is>
          <x:t xml:space="preserve"/>
        </x:is>
      </x:c>
      <x:c r="G2" s="10" t="inlineStr">
        <x:is>
          <x:t xml:space="preserve"/>
        </x:is>
      </x:c>
      <x:c r="H2" s="5" t="inlineStr">
        <x:is>
          <x:t xml:space="preserve">Plumbing</x:t>
        </x:is>
      </x:c>
      <x:c r="I2" s="10" t="inlineStr">
        <x:is>
          <x:t xml:space="preserve">MV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Clean Water</x:t>
        </x:is>
      </x:c>
      <x:c r="B3" s="5" t="inlineStr">
        <x:is>
          <x:t xml:space="preserve">Shared Infrastructure</x:t>
        </x:is>
      </x:c>
      <x:c r="C3" s="5" t="inlineStr">
        <x:is>
          <x:t xml:space="preserve">Rain Collection</x:t>
        </x:is>
      </x:c>
      <x:c r="D3" s="5" t="inlineStr">
        <x:is>
          <x:t xml:space="preserve">Leaf screens / strainers</x:t>
        </x:is>
      </x:c>
      <x:c r="E3" s="5" t="inlineStr">
        <x:is>
          <x:t xml:space="preserve">At each downspout</x:t>
        </x:is>
      </x:c>
      <x:c r="F3" s="10" t="inlineStr">
        <x:is>
          <x:t xml:space="preserve"/>
        </x:is>
      </x:c>
      <x:c r="G3" s="10" t="inlineStr">
        <x:is>
          <x:t xml:space="preserve"/>
        </x:is>
      </x:c>
      <x:c r="H3" s="5" t="inlineStr">
        <x:is>
          <x:t xml:space="preserve">Plumbing</x:t>
        </x:is>
      </x:c>
      <x:c r="I3" s="10" t="inlineStr">
        <x:is>
          <x:t xml:space="preserve">MV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Clean Water</x:t>
        </x:is>
      </x:c>
      <x:c r="B4" s="5" t="inlineStr">
        <x:is>
          <x:t xml:space="preserve">Shared Infrastructure</x:t>
        </x:is>
      </x:c>
      <x:c r="C4" s="5" t="inlineStr">
        <x:is>
          <x:t xml:space="preserve">Rain Collection</x:t>
        </x:is>
      </x:c>
      <x:c r="D4" s="5" t="inlineStr">
        <x:is>
          <x:t xml:space="preserve">First-flush diverter</x:t>
        </x:is>
      </x:c>
      <x:c r="E4" s="5" t="inlineStr">
        <x:is>
          <x:t xml:space="preserve">Shared or per-roof; serviceable</x:t>
        </x:is>
      </x:c>
      <x:c r="F4" s="10" t="inlineStr">
        <x:is>
          <x:t xml:space="preserve"/>
        </x:is>
      </x:c>
      <x:c r="G4" s="10" t="inlineStr">
        <x:is>
          <x:t xml:space="preserve"/>
        </x:is>
      </x:c>
      <x:c r="H4" s="5" t="inlineStr">
        <x:is>
          <x:t xml:space="preserve">Plumbing</x:t>
        </x:is>
      </x:c>
      <x:c r="I4" s="10" t="inlineStr">
        <x:is>
          <x:t xml:space="preserve">MV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Clean Water</x:t>
        </x:is>
      </x:c>
      <x:c r="B5" s="5" t="inlineStr">
        <x:is>
          <x:t xml:space="preserve">Shared Infrastructure</x:t>
        </x:is>
      </x:c>
      <x:c r="C5" s="5" t="inlineStr">
        <x:is>
          <x:t xml:space="preserve">Rain Collection</x:t>
        </x:is>
      </x:c>
      <x:c r="D5" s="5" t="inlineStr">
        <x:is>
          <x:t xml:space="preserve">Header manifold piping</x:t>
        </x:is>
      </x:c>
      <x:c r="E5" s="5" t="inlineStr">
        <x:is>
          <x:t xml:space="preserve">PVC Sch 40 / HDPE; include cleanouts</x:t>
        </x:is>
      </x:c>
      <x:c r="F5" s="10" t="inlineStr">
        <x:is>
          <x:t xml:space="preserve"/>
        </x:is>
      </x:c>
      <x:c r="G5" s="10" t="inlineStr">
        <x:is>
          <x:t xml:space="preserve"/>
        </x:is>
      </x:c>
      <x:c r="H5" s="5" t="inlineStr">
        <x:is>
          <x:t xml:space="preserve">Plumbing</x:t>
        </x:is>
      </x:c>
      <x:c r="I5" s="10" t="inlineStr">
        <x:is>
          <x:t xml:space="preserve">MV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  <x:row r="6" ht="42" customHeight="1">
      <x:c r="A6" s="5" t="inlineStr">
        <x:is>
          <x:t xml:space="preserve">Clean Water</x:t>
        </x:is>
      </x:c>
      <x:c r="B6" s="5" t="inlineStr">
        <x:is>
          <x:t xml:space="preserve">Shared Infrastructure</x:t>
        </x:is>
      </x:c>
      <x:c r="C6" s="5" t="inlineStr">
        <x:is>
          <x:t xml:space="preserve">Rain Collection</x:t>
        </x:is>
      </x:c>
      <x:c r="D6" s="5" t="inlineStr">
        <x:is>
          <x:t xml:space="preserve">Overflow to safe discharge</x:t>
        </x:is>
      </x:c>
      <x:c r="E6" s="5" t="inlineStr">
        <x:is>
          <x:t xml:space="preserve">To storm drain / infiltration (non-erosive)</x:t>
        </x:is>
      </x:c>
      <x:c r="F6" s="10" t="inlineStr">
        <x:is>
          <x:t xml:space="preserve"/>
        </x:is>
      </x:c>
      <x:c r="G6" s="10" t="inlineStr">
        <x:is>
          <x:t xml:space="preserve"/>
        </x:is>
      </x:c>
      <x:c r="H6" s="5" t="inlineStr">
        <x:is>
          <x:t xml:space="preserve">Plumbing</x:t>
        </x:is>
      </x:c>
      <x:c r="I6" s="10" t="inlineStr">
        <x:is>
          <x:t xml:space="preserve">MV</x:t>
        </x:is>
      </x:c>
      <x:c r="J6" s="11" t="inlineStr">
        <x:is>
          <x:t xml:space="preserve"/>
        </x:is>
      </x:c>
      <x:c r="K6" s="6">
        <x:f>IF(AND(ISNUMBER(F6),ISNUMBER(J6)),F6*J6,"")</x:f>
      </x:c>
      <x:c r="L6" s="5" t="inlineStr">
        <x:is>
          <x:t xml:space="preserve"/>
        </x:is>
      </x:c>
    </x:row>
    <x:row r="7" ht="42" customHeight="1">
      <x:c r="A7" s="5" t="inlineStr">
        <x:is>
          <x:t xml:space="preserve">Clean Water</x:t>
        </x:is>
      </x:c>
      <x:c r="B7" s="5" t="inlineStr">
        <x:is>
          <x:t xml:space="preserve">Shared Infrastructure</x:t>
        </x:is>
      </x:c>
      <x:c r="C7" s="5" t="inlineStr">
        <x:is>
          <x:t xml:space="preserve">Filtration &amp; Pressure</x:t>
        </x:is>
      </x:c>
      <x:c r="D7" s="5" t="inlineStr">
        <x:is>
          <x:t xml:space="preserve">Spin-down sediment filter</x:t>
        </x:is>
      </x:c>
      <x:c r="E7" s="5" t="inlineStr">
        <x:is>
          <x:t xml:space="preserve">50–200 micron, flushable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5" t="inlineStr">
        <x:is>
          <x:t xml:space="preserve">Plumbing</x:t>
        </x:is>
      </x:c>
      <x:c r="I7" s="10" t="inlineStr">
        <x:is>
          <x:t xml:space="preserve">MV</x:t>
        </x:is>
      </x:c>
      <x:c r="J7" s="11" t="inlineStr">
        <x:is>
          <x:t xml:space="preserve"/>
        </x:is>
      </x:c>
      <x:c r="K7" s="6">
        <x:f>IF(AND(ISNUMBER(F7),ISNUMBER(J7)),F7*J7,"")</x:f>
      </x:c>
      <x:c r="L7" s="5" t="inlineStr">
        <x:is>
          <x:t xml:space="preserve"/>
        </x:is>
      </x:c>
    </x:row>
    <x:row r="8" ht="42" customHeight="1">
      <x:c r="A8" s="5" t="inlineStr">
        <x:is>
          <x:t xml:space="preserve">Clean Water</x:t>
        </x:is>
      </x:c>
      <x:c r="B8" s="5" t="inlineStr">
        <x:is>
          <x:t xml:space="preserve">Shared Infrastructure</x:t>
        </x:is>
      </x:c>
      <x:c r="C8" s="5" t="inlineStr">
        <x:is>
          <x:t xml:space="preserve">Filtration &amp; Pressure</x:t>
        </x:is>
      </x:c>
      <x:c r="D8" s="5" t="inlineStr">
        <x:is>
          <x:t xml:space="preserve">Cartridge sediment filter</x:t>
        </x:is>
      </x:c>
      <x:c r="E8" s="5" t="inlineStr">
        <x:is>
          <x:t xml:space="preserve">5–20 micron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5" t="inlineStr">
        <x:is>
          <x:t xml:space="preserve">Plumbing</x:t>
        </x:is>
      </x:c>
      <x:c r="I8" s="10" t="inlineStr">
        <x:is>
          <x:t xml:space="preserve">MV</x:t>
        </x:is>
      </x:c>
      <x:c r="J8" s="11" t="inlineStr">
        <x:is>
          <x:t xml:space="preserve"/>
        </x:is>
      </x:c>
      <x:c r="K8" s="6">
        <x:f>IF(AND(ISNUMBER(F8),ISNUMBER(J8)),F8*J8,"")</x:f>
      </x:c>
      <x:c r="L8" s="5" t="inlineStr">
        <x:is>
          <x:t xml:space="preserve"/>
        </x:is>
      </x:c>
    </x:row>
    <x:row r="9" ht="42" customHeight="1">
      <x:c r="A9" s="5" t="inlineStr">
        <x:is>
          <x:t xml:space="preserve">Clean Water</x:t>
        </x:is>
      </x:c>
      <x:c r="B9" s="5" t="inlineStr">
        <x:is>
          <x:t xml:space="preserve">Shared Infrastructure</x:t>
        </x:is>
      </x:c>
      <x:c r="C9" s="5" t="inlineStr">
        <x:is>
          <x:t xml:space="preserve">Filtration &amp; Pressure</x:t>
        </x:is>
      </x:c>
      <x:c r="D9" s="5" t="inlineStr">
        <x:is>
          <x:t xml:space="preserve">Carbon filter (optional)</x:t>
        </x:is>
      </x:c>
      <x:c r="E9" s="5" t="inlineStr">
        <x:is>
          <x:t xml:space="preserve">Taste/odor; if required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5" t="inlineStr">
        <x:is>
          <x:t xml:space="preserve">Plumbing</x:t>
        </x:is>
      </x:c>
      <x:c r="I9" s="10" t="inlineStr">
        <x:is>
          <x:t xml:space="preserve">MV</x:t>
        </x:is>
      </x:c>
      <x:c r="J9" s="11" t="inlineStr">
        <x:is>
          <x:t xml:space="preserve"/>
        </x:is>
      </x:c>
      <x:c r="K9" s="6">
        <x:f>IF(AND(ISNUMBER(F9),ISNUMBER(J9)),F9*J9,"")</x:f>
      </x:c>
      <x:c r="L9" s="5" t="inlineStr">
        <x:is>
          <x:t xml:space="preserve"/>
        </x:is>
      </x:c>
    </x:row>
    <x:row r="10" ht="42" customHeight="1">
      <x:c r="A10" s="5" t="inlineStr">
        <x:is>
          <x:t xml:space="preserve">Clean Water</x:t>
        </x:is>
      </x:c>
      <x:c r="B10" s="5" t="inlineStr">
        <x:is>
          <x:t xml:space="preserve">Shared Infrastructure</x:t>
        </x:is>
      </x:c>
      <x:c r="C10" s="5" t="inlineStr">
        <x:is>
          <x:t xml:space="preserve">Filtration &amp; Pressure</x:t>
        </x:is>
      </x:c>
      <x:c r="D10" s="5" t="inlineStr">
        <x:is>
          <x:t xml:space="preserve">UV sterilizer</x:t>
        </x:is>
      </x:c>
      <x:c r="E10" s="5" t="inlineStr">
        <x:is>
          <x:t xml:space="preserve">Inline UV sized to peak clean flow</x:t>
        </x:is>
      </x:c>
      <x:c r="F10" s="10" t="inlineStr">
        <x:is>
          <x:t xml:space="preserve"/>
        </x:is>
      </x:c>
      <x:c r="G10" s="10" t="inlineStr">
        <x:is>
          <x:t xml:space="preserve"/>
        </x:is>
      </x:c>
      <x:c r="H10" s="5" t="inlineStr">
        <x:is>
          <x:t xml:space="preserve">Controls/Electrical</x:t>
        </x:is>
      </x:c>
      <x:c r="I10" s="10" t="inlineStr">
        <x:is>
          <x:t xml:space="preserve">MV</x:t>
        </x:is>
      </x:c>
      <x:c r="J10" s="11" t="inlineStr">
        <x:is>
          <x:t xml:space="preserve"/>
        </x:is>
      </x:c>
      <x:c r="K10" s="6">
        <x:f>IF(AND(ISNUMBER(F10),ISNUMBER(J10)),F10*J10,"")</x:f>
      </x:c>
      <x:c r="L10" s="5" t="inlineStr">
        <x:is>
          <x:t xml:space="preserve"/>
        </x:is>
      </x:c>
    </x:row>
    <x:row r="11" ht="42" customHeight="1">
      <x:c r="A11" s="5" t="inlineStr">
        <x:is>
          <x:t xml:space="preserve">Clean Water</x:t>
        </x:is>
      </x:c>
      <x:c r="B11" s="5" t="inlineStr">
        <x:is>
          <x:t xml:space="preserve">Shared Infrastructure</x:t>
        </x:is>
      </x:c>
      <x:c r="C11" s="5" t="inlineStr">
        <x:is>
          <x:t xml:space="preserve">Filtration &amp; Pressure</x:t>
        </x:is>
      </x:c>
      <x:c r="D11" s="5" t="inlineStr">
        <x:is>
          <x:t xml:space="preserve">Clean storage tank or bladder</x:t>
        </x:is>
      </x:c>
      <x:c r="E11" s="5" t="inlineStr">
        <x:is>
          <x:t xml:space="preserve">Food-safe; atmospheric; level indicator</x:t>
        </x:is>
      </x:c>
      <x:c r="F11" s="10" t="inlineStr">
        <x:is>
          <x:t xml:space="preserve"/>
        </x:is>
      </x:c>
      <x:c r="G11" s="10" t="inlineStr">
        <x:is>
          <x:t xml:space="preserve"/>
        </x:is>
      </x:c>
      <x:c r="H11" s="5" t="inlineStr">
        <x:is>
          <x:t xml:space="preserve">Plumbing</x:t>
        </x:is>
      </x:c>
      <x:c r="I11" s="10" t="inlineStr">
        <x:is>
          <x:t xml:space="preserve">MV</x:t>
        </x:is>
      </x:c>
      <x:c r="J11" s="11" t="inlineStr">
        <x:is>
          <x:t xml:space="preserve"/>
        </x:is>
      </x:c>
      <x:c r="K11" s="6">
        <x:f>IF(AND(ISNUMBER(F11),ISNUMBER(J11)),F11*J11,"")</x:f>
      </x:c>
      <x:c r="L11" s="5" t="inlineStr">
        <x:is>
          <x:t xml:space="preserve"/>
        </x:is>
      </x:c>
    </x:row>
    <x:row r="12" ht="42" customHeight="1">
      <x:c r="A12" s="5" t="inlineStr">
        <x:is>
          <x:t xml:space="preserve">Clean Water</x:t>
        </x:is>
      </x:c>
      <x:c r="B12" s="5" t="inlineStr">
        <x:is>
          <x:t xml:space="preserve">Shared Infrastructure</x:t>
        </x:is>
      </x:c>
      <x:c r="C12" s="5" t="inlineStr">
        <x:is>
          <x:t xml:space="preserve">Filtration &amp; Pressure</x:t>
        </x:is>
      </x:c>
      <x:c r="D12" s="5" t="inlineStr">
        <x:is>
          <x:t xml:space="preserve">Level sensor</x:t>
        </x:is>
      </x:c>
      <x:c r="E12" s="5" t="inlineStr">
        <x:is>
          <x:t xml:space="preserve">Float/ultrasonic; for pump protect</x:t>
        </x:is>
      </x:c>
      <x:c r="F12" s="10" t="inlineStr">
        <x:is>
          <x:t xml:space="preserve"/>
        </x:is>
      </x:c>
      <x:c r="G12" s="10" t="inlineStr">
        <x:is>
          <x:t xml:space="preserve"/>
        </x:is>
      </x:c>
      <x:c r="H12" s="5" t="inlineStr">
        <x:is>
          <x:t xml:space="preserve">Controls/Electrical</x:t>
        </x:is>
      </x:c>
      <x:c r="I12" s="10" t="inlineStr">
        <x:is>
          <x:t xml:space="preserve">MV</x:t>
        </x:is>
      </x:c>
      <x:c r="J12" s="11" t="inlineStr">
        <x:is>
          <x:t xml:space="preserve"/>
        </x:is>
      </x:c>
      <x:c r="K12" s="6">
        <x:f>IF(AND(ISNUMBER(F12),ISNUMBER(J12)),F12*J12,"")</x:f>
      </x:c>
      <x:c r="L12" s="5" t="inlineStr">
        <x:is>
          <x:t xml:space="preserve"/>
        </x:is>
      </x:c>
    </x:row>
    <x:row r="13" ht="42" customHeight="1">
      <x:c r="A13" s="5" t="inlineStr">
        <x:is>
          <x:t xml:space="preserve">Clean Water</x:t>
        </x:is>
      </x:c>
      <x:c r="B13" s="5" t="inlineStr">
        <x:is>
          <x:t xml:space="preserve">Shared Infrastructure</x:t>
        </x:is>
      </x:c>
      <x:c r="C13" s="5" t="inlineStr">
        <x:is>
          <x:t xml:space="preserve">Filtration &amp; Pressure</x:t>
        </x:is>
      </x:c>
      <x:c r="D13" s="5" t="inlineStr">
        <x:is>
          <x:t xml:space="preserve">Booster pump</x:t>
        </x:is>
      </x:c>
      <x:c r="E13" s="5" t="inlineStr">
        <x:is>
          <x:t xml:space="preserve">On-demand or small VFD; potable rated</x:t>
        </x:is>
      </x:c>
      <x:c r="F13" s="10" t="inlineStr">
        <x:is>
          <x:t xml:space="preserve"/>
        </x:is>
      </x:c>
      <x:c r="G13" s="10" t="inlineStr">
        <x:is>
          <x:t xml:space="preserve"/>
        </x:is>
      </x:c>
      <x:c r="H13" s="5" t="inlineStr">
        <x:is>
          <x:t xml:space="preserve">Plumbing/Electrical</x:t>
        </x:is>
      </x:c>
      <x:c r="I13" s="10" t="inlineStr">
        <x:is>
          <x:t xml:space="preserve">MV</x:t>
        </x:is>
      </x:c>
      <x:c r="J13" s="11" t="inlineStr">
        <x:is>
          <x:t xml:space="preserve"/>
        </x:is>
      </x:c>
      <x:c r="K13" s="6">
        <x:f>IF(AND(ISNUMBER(F13),ISNUMBER(J13)),F13*J13,"")</x:f>
      </x:c>
      <x:c r="L13" s="5" t="inlineStr">
        <x:is>
          <x:t xml:space="preserve"/>
        </x:is>
      </x:c>
    </x:row>
    <x:row r="14" ht="42" customHeight="1">
      <x:c r="A14" s="5" t="inlineStr">
        <x:is>
          <x:t xml:space="preserve">Clean Water</x:t>
        </x:is>
      </x:c>
      <x:c r="B14" s="5" t="inlineStr">
        <x:is>
          <x:t xml:space="preserve">Shared Infrastructure</x:t>
        </x:is>
      </x:c>
      <x:c r="C14" s="5" t="inlineStr">
        <x:is>
          <x:t xml:space="preserve">Filtration &amp; Pressure</x:t>
        </x:is>
      </x:c>
      <x:c r="D14" s="5" t="inlineStr">
        <x:is>
          <x:t xml:space="preserve">Pressure tank</x:t>
        </x:is>
      </x:c>
      <x:c r="E14" s="5" t="inlineStr">
        <x:is>
          <x:t xml:space="preserve">Bladder pressure tank sized to reduce cycling</x:t>
        </x:is>
      </x:c>
      <x:c r="F14" s="10" t="inlineStr">
        <x:is>
          <x:t xml:space="preserve"/>
        </x:is>
      </x:c>
      <x:c r="G14" s="10" t="inlineStr">
        <x:is>
          <x:t xml:space="preserve"/>
        </x:is>
      </x:c>
      <x:c r="H14" s="5" t="inlineStr">
        <x:is>
          <x:t xml:space="preserve">Plumbing</x:t>
        </x:is>
      </x:c>
      <x:c r="I14" s="10" t="inlineStr">
        <x:is>
          <x:t xml:space="preserve">MV</x:t>
        </x:is>
      </x:c>
      <x:c r="J14" s="11" t="inlineStr">
        <x:is>
          <x:t xml:space="preserve"/>
        </x:is>
      </x:c>
      <x:c r="K14" s="6">
        <x:f>IF(AND(ISNUMBER(F14),ISNUMBER(J14)),F14*J14,"")</x:f>
      </x:c>
      <x:c r="L14" s="5" t="inlineStr">
        <x:is>
          <x:t xml:space="preserve"/>
        </x:is>
      </x:c>
    </x:row>
    <x:row r="15" ht="42" customHeight="1">
      <x:c r="A15" s="5" t="inlineStr">
        <x:is>
          <x:t xml:space="preserve">Clean Water</x:t>
        </x:is>
      </x:c>
      <x:c r="B15" s="5" t="inlineStr">
        <x:is>
          <x:t xml:space="preserve">Shared Infrastructure</x:t>
        </x:is>
      </x:c>
      <x:c r="C15" s="5" t="inlineStr">
        <x:is>
          <x:t xml:space="preserve">Filtration &amp; Pressure</x:t>
        </x:is>
      </x:c>
      <x:c r="D15" s="5" t="inlineStr">
        <x:is>
          <x:t xml:space="preserve">Pressure switch + gauge</x:t>
        </x:is>
      </x:c>
      <x:c r="E15" s="5" t="inlineStr">
        <x:is>
          <x:t xml:space="preserve">Typical 35/55 or 40/60 psi</x:t>
        </x:is>
      </x:c>
      <x:c r="F15" s="10" t="inlineStr">
        <x:is>
          <x:t xml:space="preserve"/>
        </x:is>
      </x:c>
      <x:c r="G15" s="10" t="inlineStr">
        <x:is>
          <x:t xml:space="preserve"/>
        </x:is>
      </x:c>
      <x:c r="H15" s="5" t="inlineStr">
        <x:is>
          <x:t xml:space="preserve">Controls/Electrical</x:t>
        </x:is>
      </x:c>
      <x:c r="I15" s="10" t="inlineStr">
        <x:is>
          <x:t xml:space="preserve">MV</x:t>
        </x:is>
      </x:c>
      <x:c r="J15" s="11" t="inlineStr">
        <x:is>
          <x:t xml:space="preserve"/>
        </x:is>
      </x:c>
      <x:c r="K15" s="6">
        <x:f>IF(AND(ISNUMBER(F15),ISNUMBER(J15)),F15*J15,"")</x:f>
      </x:c>
      <x:c r="L15" s="5" t="inlineStr">
        <x:is>
          <x:t xml:space="preserve"/>
        </x:is>
      </x:c>
    </x:row>
    <x:row r="16" ht="42" customHeight="1">
      <x:c r="A16" s="5" t="inlineStr">
        <x:is>
          <x:t xml:space="preserve">Clean Water</x:t>
        </x:is>
      </x:c>
      <x:c r="B16" s="5" t="inlineStr">
        <x:is>
          <x:t xml:space="preserve">Shared Infrastructure</x:t>
        </x:is>
      </x:c>
      <x:c r="C16" s="5" t="inlineStr">
        <x:is>
          <x:t xml:space="preserve">Filtration &amp; Pressure</x:t>
        </x:is>
      </x:c>
      <x:c r="D16" s="5" t="inlineStr">
        <x:is>
          <x:t xml:space="preserve">Backflow preventer (if required)</x:t>
        </x:is>
      </x:c>
      <x:c r="E16" s="5" t="inlineStr">
        <x:is>
          <x:t xml:space="preserve">Per local code / any municipal tie-in</x:t>
        </x:is>
      </x:c>
      <x:c r="F16" s="10" t="inlineStr">
        <x:is>
          <x:t xml:space="preserve"/>
        </x:is>
      </x:c>
      <x:c r="G16" s="10" t="inlineStr">
        <x:is>
          <x:t xml:space="preserve"/>
        </x:is>
      </x:c>
      <x:c r="H16" s="5" t="inlineStr">
        <x:is>
          <x:t xml:space="preserve">Plumbing</x:t>
        </x:is>
      </x:c>
      <x:c r="I16" s="10" t="inlineStr">
        <x:is>
          <x:t xml:space="preserve">MV</x:t>
        </x:is>
      </x:c>
      <x:c r="J16" s="11" t="inlineStr">
        <x:is>
          <x:t xml:space="preserve"/>
        </x:is>
      </x:c>
      <x:c r="K16" s="6">
        <x:f>IF(AND(ISNUMBER(F16),ISNUMBER(J16)),F16*J16,"")</x:f>
      </x:c>
      <x:c r="L16" s="5" t="inlineStr">
        <x:is>
          <x:t xml:space="preserve"/>
        </x:is>
      </x:c>
    </x:row>
    <x:row r="17" ht="42" customHeight="1">
      <x:c r="A17" s="5" t="inlineStr">
        <x:is>
          <x:t xml:space="preserve">Clean Water</x:t>
        </x:is>
      </x:c>
      <x:c r="B17" s="5" t="inlineStr">
        <x:is>
          <x:t xml:space="preserve">Shared Infrastructure</x:t>
        </x:is>
      </x:c>
      <x:c r="C17" s="5" t="inlineStr">
        <x:is>
          <x:t xml:space="preserve">Filtration &amp; Pressure</x:t>
        </x:is>
      </x:c>
      <x:c r="D17" s="5" t="inlineStr">
        <x:is>
          <x:t xml:space="preserve">Distribution manifold (labeled)</x:t>
        </x:is>
      </x:c>
      <x:c r="E17" s="5" t="inlineStr">
        <x:is>
          <x:t xml:space="preserve">Ports to each clean module</x:t>
        </x:is>
      </x:c>
      <x:c r="F17" s="10" t="inlineStr">
        <x:is>
          <x:t xml:space="preserve"/>
        </x:is>
      </x:c>
      <x:c r="G17" s="10" t="inlineStr">
        <x:is>
          <x:t xml:space="preserve"/>
        </x:is>
      </x:c>
      <x:c r="H17" s="5" t="inlineStr">
        <x:is>
          <x:t xml:space="preserve">Plumbing</x:t>
        </x:is>
      </x:c>
      <x:c r="I17" s="10" t="inlineStr">
        <x:is>
          <x:t xml:space="preserve">MV</x:t>
        </x:is>
      </x:c>
      <x:c r="J17" s="11" t="inlineStr">
        <x:is>
          <x:t xml:space="preserve"/>
        </x:is>
      </x:c>
      <x:c r="K17" s="6">
        <x:f>IF(AND(ISNUMBER(F17),ISNUMBER(J17)),F17*J17,"")</x:f>
      </x:c>
      <x:c r="L17" s="5" t="inlineStr">
        <x:is>
          <x:t xml:space="preserve"/>
        </x:is>
      </x:c>
    </x:row>
    <x:row r="18" ht="42" customHeight="1">
      <x:c r="A18" s="5" t="inlineStr">
        <x:is>
          <x:t xml:space="preserve">Clean Water</x:t>
        </x:is>
      </x:c>
      <x:c r="B18" s="5" t="inlineStr">
        <x:is>
          <x:t xml:space="preserve">Shared Infrastructure</x:t>
        </x:is>
      </x:c>
      <x:c r="C18" s="5" t="inlineStr">
        <x:is>
          <x:t xml:space="preserve">Solar Hot Water</x:t>
        </x:is>
      </x:c>
      <x:c r="D18" s="5" t="inlineStr">
        <x:is>
          <x:t xml:space="preserve">Solar thermal collector(s)</x:t>
        </x:is>
      </x:c>
      <x:c r="E18" s="5" t="inlineStr">
        <x:is>
          <x:t xml:space="preserve">Roof/ground mount; freeze protection as needed</x:t>
        </x:is>
      </x:c>
      <x:c r="F18" s="10" t="inlineStr">
        <x:is>
          <x:t xml:space="preserve"/>
        </x:is>
      </x:c>
      <x:c r="G18" s="10" t="inlineStr">
        <x:is>
          <x:t xml:space="preserve"/>
        </x:is>
      </x:c>
      <x:c r="H18" s="5" t="inlineStr">
        <x:is>
          <x:t xml:space="preserve">Solar/Thermal</x:t>
        </x:is>
      </x:c>
      <x:c r="I18" s="10" t="inlineStr">
        <x:is>
          <x:t xml:space="preserve">Phase 2</x:t>
        </x:is>
      </x:c>
      <x:c r="J18" s="11" t="inlineStr">
        <x:is>
          <x:t xml:space="preserve"/>
        </x:is>
      </x:c>
      <x:c r="K18" s="6">
        <x:f>IF(AND(ISNUMBER(F18),ISNUMBER(J18)),F18*J18,"")</x:f>
      </x:c>
      <x:c r="L18" s="5" t="inlineStr">
        <x:is>
          <x:t xml:space="preserve"/>
        </x:is>
      </x:c>
    </x:row>
    <x:row r="19" ht="42" customHeight="1">
      <x:c r="A19" s="5" t="inlineStr">
        <x:is>
          <x:t xml:space="preserve">Clean Water</x:t>
        </x:is>
      </x:c>
      <x:c r="B19" s="5" t="inlineStr">
        <x:is>
          <x:t xml:space="preserve">Shared Infrastructure</x:t>
        </x:is>
      </x:c>
      <x:c r="C19" s="5" t="inlineStr">
        <x:is>
          <x:t xml:space="preserve">Solar Hot Water</x:t>
        </x:is>
      </x:c>
      <x:c r="D19" s="5" t="inlineStr">
        <x:is>
          <x:t xml:space="preserve">Solar hot water storage tank</x:t>
        </x:is>
      </x:c>
      <x:c r="E19" s="5" t="inlineStr">
        <x:is>
          <x:t xml:space="preserve">Insulated; sized to usage</x:t>
        </x:is>
      </x:c>
      <x:c r="F19" s="10" t="inlineStr">
        <x:is>
          <x:t xml:space="preserve"/>
        </x:is>
      </x:c>
      <x:c r="G19" s="10" t="inlineStr">
        <x:is>
          <x:t xml:space="preserve"/>
        </x:is>
      </x:c>
      <x:c r="H19" s="5" t="inlineStr">
        <x:is>
          <x:t xml:space="preserve">Solar/Thermal</x:t>
        </x:is>
      </x:c>
      <x:c r="I19" s="10" t="inlineStr">
        <x:is>
          <x:t xml:space="preserve">Phase 2</x:t>
        </x:is>
      </x:c>
      <x:c r="J19" s="11" t="inlineStr">
        <x:is>
          <x:t xml:space="preserve"/>
        </x:is>
      </x:c>
      <x:c r="K19" s="6">
        <x:f>IF(AND(ISNUMBER(F19),ISNUMBER(J19)),F19*J19,"")</x:f>
      </x:c>
      <x:c r="L19" s="5" t="inlineStr">
        <x:is>
          <x:t xml:space="preserve"/>
        </x:is>
      </x:c>
    </x:row>
    <x:row r="20" ht="42" customHeight="1">
      <x:c r="A20" s="5" t="inlineStr">
        <x:is>
          <x:t xml:space="preserve">Clean Water</x:t>
        </x:is>
      </x:c>
      <x:c r="B20" s="5" t="inlineStr">
        <x:is>
          <x:t xml:space="preserve">Shared Infrastructure</x:t>
        </x:is>
      </x:c>
      <x:c r="C20" s="5" t="inlineStr">
        <x:is>
          <x:t xml:space="preserve">Solar Hot Water</x:t>
        </x:is>
      </x:c>
      <x:c r="D20" s="5" t="inlineStr">
        <x:is>
          <x:t xml:space="preserve">Mixing/tempering valve</x:t>
        </x:is>
      </x:c>
      <x:c r="E20" s="5" t="inlineStr">
        <x:is>
          <x:t xml:space="preserve">Anti-scald; code-compliant</x:t>
        </x:is>
      </x:c>
      <x:c r="F20" s="10" t="inlineStr">
        <x:is>
          <x:t xml:space="preserve"/>
        </x:is>
      </x:c>
      <x:c r="G20" s="10" t="inlineStr">
        <x:is>
          <x:t xml:space="preserve"/>
        </x:is>
      </x:c>
      <x:c r="H20" s="5" t="inlineStr">
        <x:is>
          <x:t xml:space="preserve">Plumbing</x:t>
        </x:is>
      </x:c>
      <x:c r="I20" s="10" t="inlineStr">
        <x:is>
          <x:t xml:space="preserve">Phase 2</x:t>
        </x:is>
      </x:c>
      <x:c r="J20" s="11" t="inlineStr">
        <x:is>
          <x:t xml:space="preserve"/>
        </x:is>
      </x:c>
      <x:c r="K20" s="6">
        <x:f>IF(AND(ISNUMBER(F20),ISNUMBER(J20)),F20*J20,"")</x:f>
      </x:c>
      <x:c r="L20" s="5" t="inlineStr">
        <x:is>
          <x:t xml:space="preserve"/>
        </x:is>
      </x:c>
    </x:row>
    <x:row r="21" ht="42" customHeight="1">
      <x:c r="A21" s="5" t="inlineStr">
        <x:is>
          <x:t xml:space="preserve">Clean Water</x:t>
        </x:is>
      </x:c>
      <x:c r="B21" s="5" t="inlineStr">
        <x:is>
          <x:t xml:space="preserve">Shared Infrastructure</x:t>
        </x:is>
      </x:c>
      <x:c r="C21" s="5" t="inlineStr">
        <x:is>
          <x:t xml:space="preserve">Solar Hot Water</x:t>
        </x:is>
      </x:c>
      <x:c r="D21" s="5" t="inlineStr">
        <x:is>
          <x:t xml:space="preserve">Circulation pump</x:t>
        </x:is>
      </x:c>
      <x:c r="E21" s="5" t="inlineStr">
        <x:is>
          <x:t xml:space="preserve">Solar-rated; low power</x:t>
        </x:is>
      </x:c>
      <x:c r="F21" s="10" t="inlineStr">
        <x:is>
          <x:t xml:space="preserve"/>
        </x:is>
      </x:c>
      <x:c r="G21" s="10" t="inlineStr">
        <x:is>
          <x:t xml:space="preserve"/>
        </x:is>
      </x:c>
      <x:c r="H21" s="5" t="inlineStr">
        <x:is>
          <x:t xml:space="preserve">Solar/Thermal</x:t>
        </x:is>
      </x:c>
      <x:c r="I21" s="10" t="inlineStr">
        <x:is>
          <x:t xml:space="preserve">Phase 2</x:t>
        </x:is>
      </x:c>
      <x:c r="J21" s="11" t="inlineStr">
        <x:is>
          <x:t xml:space="preserve"/>
        </x:is>
      </x:c>
      <x:c r="K21" s="6">
        <x:f>IF(AND(ISNUMBER(F21),ISNUMBER(J21)),F21*J21,"")</x:f>
      </x:c>
      <x:c r="L21" s="5" t="inlineStr">
        <x:is>
          <x:t xml:space="preserve"/>
        </x:is>
      </x:c>
    </x:row>
    <x:row r="22" ht="42" customHeight="1">
      <x:c r="A22" s="5" t="inlineStr">
        <x:is>
          <x:t xml:space="preserve">Clean Water</x:t>
        </x:is>
      </x:c>
      <x:c r="B22" s="5" t="inlineStr">
        <x:is>
          <x:t xml:space="preserve">Shared Infrastructure</x:t>
        </x:is>
      </x:c>
      <x:c r="C22" s="5" t="inlineStr">
        <x:is>
          <x:t xml:space="preserve">Solar Hot Water</x:t>
        </x:is>
      </x:c>
      <x:c r="D22" s="5" t="inlineStr">
        <x:is>
          <x:t xml:space="preserve">Expansion tank + relief valves</x:t>
        </x:is>
      </x:c>
      <x:c r="E22" s="5" t="inlineStr">
        <x:is>
          <x:t xml:space="preserve">Per code</x:t>
        </x:is>
      </x:c>
      <x:c r="F22" s="10" t="inlineStr">
        <x:is>
          <x:t xml:space="preserve"/>
        </x:is>
      </x:c>
      <x:c r="G22" s="10" t="inlineStr">
        <x:is>
          <x:t xml:space="preserve"/>
        </x:is>
      </x:c>
      <x:c r="H22" s="5" t="inlineStr">
        <x:is>
          <x:t xml:space="preserve">Plumbing</x:t>
        </x:is>
      </x:c>
      <x:c r="I22" s="10" t="inlineStr">
        <x:is>
          <x:t xml:space="preserve">Phase 2</x:t>
        </x:is>
      </x:c>
      <x:c r="J22" s="11" t="inlineStr">
        <x:is>
          <x:t xml:space="preserve"/>
        </x:is>
      </x:c>
      <x:c r="K22" s="6">
        <x:f>IF(AND(ISNUMBER(F22),ISNUMBER(J22)),F22*J22,"")</x:f>
      </x:c>
      <x:c r="L22" s="5" t="inlineStr">
        <x:is>
          <x:t xml:space="preserve"/>
        </x:is>
      </x:c>
    </x:row>
    <x:row r="23" ht="42" customHeight="1">
      <x:c r="A23" s="5" t="inlineStr">
        <x:is>
          <x:t xml:space="preserve">Clean Water</x:t>
        </x:is>
      </x:c>
      <x:c r="B23" s="5" t="inlineStr">
        <x:is>
          <x:t xml:space="preserve">Shared Infrastructure</x:t>
        </x:is>
      </x:c>
      <x:c r="C23" s="5" t="inlineStr">
        <x:is>
          <x:t xml:space="preserve">Solar Hot Water</x:t>
        </x:is>
      </x:c>
      <x:c r="D23" s="5" t="inlineStr">
        <x:is>
          <x:t xml:space="preserve">Insulated hot water lines</x:t>
        </x:is>
      </x:c>
      <x:c r="E23" s="5" t="inlineStr">
        <x:is>
          <x:t xml:space="preserve">To operator/harvest sinks</x:t>
        </x:is>
      </x:c>
      <x:c r="F23" s="10" t="inlineStr">
        <x:is>
          <x:t xml:space="preserve"/>
        </x:is>
      </x:c>
      <x:c r="G23" s="10" t="inlineStr">
        <x:is>
          <x:t xml:space="preserve"/>
        </x:is>
      </x:c>
      <x:c r="H23" s="5" t="inlineStr">
        <x:is>
          <x:t xml:space="preserve">Plumbing</x:t>
        </x:is>
      </x:c>
      <x:c r="I23" s="10" t="inlineStr">
        <x:is>
          <x:t xml:space="preserve">Phase 2</x:t>
        </x:is>
      </x:c>
      <x:c r="J23" s="11" t="inlineStr">
        <x:is>
          <x:t xml:space="preserve"/>
        </x:is>
      </x:c>
      <x:c r="K23" s="6">
        <x:f>IF(AND(ISNUMBER(F23),ISNUMBER(J23)),F23*J23,"")</x:f>
      </x:c>
      <x:c r="L23" s="5" t="inlineStr">
        <x:is>
          <x:t xml:space="preserve"/>
        </x:is>
      </x:c>
    </x:row>
    <x:row r="24" ht="42" customHeight="1">
      <x:c r="A24" s="5" t="inlineStr">
        <x:is>
          <x:t xml:space="preserve">Production</x:t>
        </x:is>
      </x:c>
      <x:c r="B24" s="5" t="inlineStr">
        <x:is>
          <x:t xml:space="preserve">Germination Engine (Microgreens)</x:t>
        </x:is>
      </x:c>
      <x:c r="C24" s="5" t="inlineStr">
        <x:is>
          <x:t xml:space="preserve">Irrigation &amp; Equipment</x:t>
        </x:is>
      </x:c>
      <x:c r="D24" s="5" t="inlineStr">
        <x:is>
          <x:t xml:space="preserve">Branch line + shutoff valve</x:t>
        </x:is>
      </x:c>
      <x:c r="E24" s="5" t="inlineStr">
        <x:is>
          <x:t xml:space="preserve">Dedicated branch from clean manifold</x:t>
        </x:is>
      </x:c>
      <x:c r="F24" s="12" t="n">
        <x:v>1</x:v>
      </x:c>
      <x:c r="G24" s="10" t="inlineStr">
        <x:is>
          <x:t xml:space="preserve">set</x:t>
        </x:is>
      </x:c>
      <x:c r="H24" s="5" t="inlineStr">
        <x:is>
          <x:t xml:space="preserve">Plumbing</x:t>
        </x:is>
      </x:c>
      <x:c r="I24" s="10" t="inlineStr">
        <x:is>
          <x:t xml:space="preserve">MV</x:t>
        </x:is>
      </x:c>
      <x:c r="J24" s="11" t="inlineStr">
        <x:is>
          <x:t xml:space="preserve"/>
        </x:is>
      </x:c>
      <x:c r="K24" s="6">
        <x:f>IF(AND(ISNUMBER(F24),ISNUMBER(J24)),F24*J24,"")</x:f>
      </x:c>
      <x:c r="L24" s="5" t="inlineStr">
        <x:is>
          <x:t xml:space="preserve"/>
        </x:is>
      </x:c>
    </x:row>
    <x:row r="25" ht="42" customHeight="1">
      <x:c r="A25" s="5" t="inlineStr">
        <x:is>
          <x:t xml:space="preserve">Production</x:t>
        </x:is>
      </x:c>
      <x:c r="B25" s="5" t="inlineStr">
        <x:is>
          <x:t xml:space="preserve">Germination Engine (Microgreens)</x:t>
        </x:is>
      </x:c>
      <x:c r="C25" s="5" t="inlineStr">
        <x:is>
          <x:t xml:space="preserve">Irrigation &amp; Equipment</x:t>
        </x:is>
      </x:c>
      <x:c r="D25" s="5" t="inlineStr">
        <x:is>
          <x:t xml:space="preserve">Pressure regulator</x:t>
        </x:is>
      </x:c>
      <x:c r="E25" s="5" t="inlineStr">
        <x:is>
          <x:t xml:space="preserve">15–25 psi at emitters</x:t>
        </x:is>
      </x:c>
      <x:c r="F25" s="12" t="n">
        <x:v>1</x:v>
      </x:c>
      <x:c r="G25" s="10" t="inlineStr">
        <x:is>
          <x:t xml:space="preserve">ea</x:t>
        </x:is>
      </x:c>
      <x:c r="H25" s="5" t="inlineStr">
        <x:is>
          <x:t xml:space="preserve">Plumbing</x:t>
        </x:is>
      </x:c>
      <x:c r="I25" s="10" t="inlineStr">
        <x:is>
          <x:t xml:space="preserve">MV</x:t>
        </x:is>
      </x:c>
      <x:c r="J25" s="11" t="inlineStr">
        <x:is>
          <x:t xml:space="preserve"/>
        </x:is>
      </x:c>
      <x:c r="K25" s="6">
        <x:f>IF(AND(ISNUMBER(F25),ISNUMBER(J25)),F25*J25,"")</x:f>
      </x:c>
      <x:c r="L25" s="5" t="inlineStr">
        <x:is>
          <x:t xml:space="preserve"/>
        </x:is>
      </x:c>
    </x:row>
    <x:row r="26" ht="42" customHeight="1">
      <x:c r="A26" s="5" t="inlineStr">
        <x:is>
          <x:t xml:space="preserve">Production</x:t>
        </x:is>
      </x:c>
      <x:c r="B26" s="5" t="inlineStr">
        <x:is>
          <x:t xml:space="preserve">Germination Engine (Microgreens)</x:t>
        </x:is>
      </x:c>
      <x:c r="C26" s="5" t="inlineStr">
        <x:is>
          <x:t xml:space="preserve">Irrigation &amp; Equipment</x:t>
        </x:is>
      </x:c>
      <x:c r="D26" s="5" t="inlineStr">
        <x:is>
          <x:t xml:space="preserve">Solenoid valve + timer (optional)</x:t>
        </x:is>
      </x:c>
      <x:c r="E26" s="5" t="inlineStr">
        <x:is>
          <x:t xml:space="preserve">Pulse misting control</x:t>
        </x:is>
      </x:c>
      <x:c r="F26" s="12" t="n">
        <x:v>1</x:v>
      </x:c>
      <x:c r="G26" s="10" t="inlineStr">
        <x:is>
          <x:t xml:space="preserve">set</x:t>
        </x:is>
      </x:c>
      <x:c r="H26" s="5" t="inlineStr">
        <x:is>
          <x:t xml:space="preserve">Controls/Electrical</x:t>
        </x:is>
      </x:c>
      <x:c r="I26" s="10" t="inlineStr">
        <x:is>
          <x:t xml:space="preserve">MV</x:t>
        </x:is>
      </x:c>
      <x:c r="J26" s="11" t="inlineStr">
        <x:is>
          <x:t xml:space="preserve"/>
        </x:is>
      </x:c>
      <x:c r="K26" s="6">
        <x:f>IF(AND(ISNUMBER(F26),ISNUMBER(J26)),F26*J26,"")</x:f>
      </x:c>
      <x:c r="L26" s="5" t="inlineStr">
        <x:is>
          <x:t xml:space="preserve"/>
        </x:is>
      </x:c>
    </x:row>
    <x:row r="27" ht="42" customHeight="1">
      <x:c r="A27" s="5" t="inlineStr">
        <x:is>
          <x:t xml:space="preserve">Production</x:t>
        </x:is>
      </x:c>
      <x:c r="B27" s="5" t="inlineStr">
        <x:is>
          <x:t xml:space="preserve">Germination Engine (Microgreens)</x:t>
        </x:is>
      </x:c>
      <x:c r="C27" s="5" t="inlineStr">
        <x:is>
          <x:t xml:space="preserve">Irrigation &amp; Equipment</x:t>
        </x:is>
      </x:c>
      <x:c r="D27" s="5" t="inlineStr">
        <x:is>
          <x:t xml:space="preserve">Misting nozzles + manifold</x:t>
        </x:is>
      </x:c>
      <x:c r="E27" s="5" t="inlineStr">
        <x:is>
          <x:t xml:space="preserve">Food-safe tubing, easy clean</x:t>
        </x:is>
      </x:c>
      <x:c r="F27" s="12" t="n">
        <x:v>1</x:v>
      </x:c>
      <x:c r="G27" s="10" t="inlineStr">
        <x:is>
          <x:t xml:space="preserve">set</x:t>
        </x:is>
      </x:c>
      <x:c r="H27" s="5" t="inlineStr">
        <x:is>
          <x:t xml:space="preserve">Plumbing</x:t>
        </x:is>
      </x:c>
      <x:c r="I27" s="10" t="inlineStr">
        <x:is>
          <x:t xml:space="preserve">MV</x:t>
        </x:is>
      </x:c>
      <x:c r="J27" s="11" t="inlineStr">
        <x:is>
          <x:t xml:space="preserve"/>
        </x:is>
      </x:c>
      <x:c r="K27" s="6">
        <x:f>IF(AND(ISNUMBER(F27),ISNUMBER(J27)),F27*J27,"")</x:f>
      </x:c>
      <x:c r="L27" s="5" t="inlineStr">
        <x:is>
          <x:t xml:space="preserve"/>
        </x:is>
      </x:c>
    </x:row>
    <x:row r="28" ht="42" customHeight="1">
      <x:c r="A28" s="5" t="inlineStr">
        <x:is>
          <x:t xml:space="preserve">Production</x:t>
        </x:is>
      </x:c>
      <x:c r="B28" s="5" t="inlineStr">
        <x:is>
          <x:t xml:space="preserve">Germination Engine (Microgreens)</x:t>
        </x:is>
      </x:c>
      <x:c r="C28" s="5" t="inlineStr">
        <x:is>
          <x:t xml:space="preserve">Irrigation &amp; Equipment</x:t>
        </x:is>
      </x:c>
      <x:c r="D28" s="5" t="inlineStr">
        <x:is>
          <x:t xml:space="preserve">Drain trough / floor drain connection</x:t>
        </x:is>
      </x:c>
      <x:c r="E28" s="5" t="inlineStr">
        <x:is>
          <x:t xml:space="preserve">All drain to Head 2 boundary</x:t>
        </x:is>
      </x:c>
      <x:c r="F28" s="12" t="n">
        <x:v>1</x:v>
      </x:c>
      <x:c r="G28" s="10" t="inlineStr">
        <x:is>
          <x:t xml:space="preserve">set</x:t>
        </x:is>
      </x:c>
      <x:c r="H28" s="5" t="inlineStr">
        <x:is>
          <x:t xml:space="preserve">Plumbing</x:t>
        </x:is>
      </x:c>
      <x:c r="I28" s="10" t="inlineStr">
        <x:is>
          <x:t xml:space="preserve">MV</x:t>
        </x:is>
      </x:c>
      <x:c r="J28" s="11" t="inlineStr">
        <x:is>
          <x:t xml:space="preserve"/>
        </x:is>
      </x:c>
      <x:c r="K28" s="6">
        <x:f>IF(AND(ISNUMBER(F28),ISNUMBER(J28)),F28*J28,"")</x:f>
      </x:c>
      <x:c r="L28" s="5" t="inlineStr">
        <x:is>
          <x:t xml:space="preserve"/>
        </x:is>
      </x:c>
    </x:row>
    <x:row r="29" ht="42" customHeight="1">
      <x:c r="A29" s="5" t="inlineStr">
        <x:is>
          <x:t xml:space="preserve">Production</x:t>
        </x:is>
      </x:c>
      <x:c r="B29" s="5" t="inlineStr">
        <x:is>
          <x:t xml:space="preserve">Germination Engine (Microgreens)</x:t>
        </x:is>
      </x:c>
      <x:c r="C29" s="5" t="inlineStr">
        <x:is>
          <x:t xml:space="preserve">Irrigation &amp; Equipment</x:t>
        </x:is>
      </x:c>
      <x:c r="D29" s="5" t="inlineStr">
        <x:is>
          <x:t xml:space="preserve">NSF 6-tier rack</x:t>
        </x:is>
      </x:c>
      <x:c r="E29" s="5" t="inlineStr">
        <x:is>
          <x:t xml:space="preserve">Primary grow racks</x:t>
        </x:is>
      </x:c>
      <x:c r="F29" s="12" t="n">
        <x:v>2</x:v>
      </x:c>
      <x:c r="G29" s="10" t="inlineStr">
        <x:is>
          <x:t xml:space="preserve">ea</x:t>
        </x:is>
      </x:c>
      <x:c r="H29" s="5" t="inlineStr">
        <x:is>
          <x:t xml:space="preserve">Structural</x:t>
        </x:is>
      </x:c>
      <x:c r="I29" s="10" t="inlineStr">
        <x:is>
          <x:t xml:space="preserve">MV</x:t>
        </x:is>
      </x:c>
      <x:c r="J29" s="11" t="inlineStr">
        <x:is>
          <x:t xml:space="preserve"/>
        </x:is>
      </x:c>
      <x:c r="K29" s="6">
        <x:f>IF(AND(ISNUMBER(F29),ISNUMBER(J29)),F29*J29,"")</x:f>
      </x:c>
      <x:c r="L29" s="5" t="inlineStr">
        <x:is>
          <x:t xml:space="preserve"/>
        </x:is>
      </x:c>
    </x:row>
    <x:row r="30" ht="42" customHeight="1">
      <x:c r="A30" s="5" t="inlineStr">
        <x:is>
          <x:t xml:space="preserve">Production</x:t>
        </x:is>
      </x:c>
      <x:c r="B30" s="5" t="inlineStr">
        <x:is>
          <x:t xml:space="preserve">Germination Engine (Microgreens)</x:t>
        </x:is>
      </x:c>
      <x:c r="C30" s="5" t="inlineStr">
        <x:is>
          <x:t xml:space="preserve">Irrigation &amp; Equipment</x:t>
        </x:is>
      </x:c>
      <x:c r="D30" s="5" t="inlineStr">
        <x:is>
          <x:t xml:space="preserve">Barina 4ft LED light bars</x:t>
        </x:is>
      </x:c>
      <x:c r="E30" s="5" t="inlineStr">
        <x:is>
          <x:t xml:space="preserve">Lighting on racks</x:t>
        </x:is>
      </x:c>
      <x:c r="F30" s="12" t="n">
        <x:v>6</x:v>
      </x:c>
      <x:c r="G30" s="10" t="inlineStr">
        <x:is>
          <x:t xml:space="preserve">ea</x:t>
        </x:is>
      </x:c>
      <x:c r="H30" s="5" t="inlineStr">
        <x:is>
          <x:t xml:space="preserve">Electrical</x:t>
        </x:is>
      </x:c>
      <x:c r="I30" s="10" t="inlineStr">
        <x:is>
          <x:t xml:space="preserve">MV</x:t>
        </x:is>
      </x:c>
      <x:c r="J30" s="11" t="inlineStr">
        <x:is>
          <x:t xml:space="preserve"/>
        </x:is>
      </x:c>
      <x:c r="K30" s="6">
        <x:f>IF(AND(ISNUMBER(F30),ISNUMBER(J30)),F30*J30,"")</x:f>
      </x:c>
      <x:c r="L30" s="5" t="inlineStr">
        <x:is>
          <x:t xml:space="preserve"/>
        </x:is>
      </x:c>
    </x:row>
    <x:row r="31" ht="42" customHeight="1">
      <x:c r="A31" s="5" t="inlineStr">
        <x:is>
          <x:t xml:space="preserve">Production</x:t>
        </x:is>
      </x:c>
      <x:c r="B31" s="5" t="inlineStr">
        <x:is>
          <x:t xml:space="preserve">Germination Engine (Microgreens)</x:t>
        </x:is>
      </x:c>
      <x:c r="C31" s="5" t="inlineStr">
        <x:is>
          <x:t xml:space="preserve">Irrigation &amp; Equipment</x:t>
        </x:is>
      </x:c>
      <x:c r="D31" s="5" t="inlineStr">
        <x:is>
          <x:t xml:space="preserve">Dehumidifier</x:t>
        </x:is>
      </x:c>
      <x:c r="E31" s="5" t="inlineStr">
        <x:is>
          <x:t xml:space="preserve">Maintain RH band</x:t>
        </x:is>
      </x:c>
      <x:c r="F31" s="12" t="n">
        <x:v>1</x:v>
      </x:c>
      <x:c r="G31" s="10" t="inlineStr">
        <x:is>
          <x:t xml:space="preserve">ea</x:t>
        </x:is>
      </x:c>
      <x:c r="H31" s="5" t="inlineStr">
        <x:is>
          <x:t xml:space="preserve">HVAC</x:t>
        </x:is>
      </x:c>
      <x:c r="I31" s="10" t="inlineStr">
        <x:is>
          <x:t xml:space="preserve">MV</x:t>
        </x:is>
      </x:c>
      <x:c r="J31" s="11" t="inlineStr">
        <x:is>
          <x:t xml:space="preserve"/>
        </x:is>
      </x:c>
      <x:c r="K31" s="6">
        <x:f>IF(AND(ISNUMBER(F31),ISNUMBER(J31)),F31*J31,"")</x:f>
      </x:c>
      <x:c r="L31" s="5" t="inlineStr">
        <x:is>
          <x:t xml:space="preserve"/>
        </x:is>
      </x:c>
    </x:row>
    <x:row r="32" ht="42" customHeight="1">
      <x:c r="A32" s="5" t="inlineStr">
        <x:is>
          <x:t xml:space="preserve">Production</x:t>
        </x:is>
      </x:c>
      <x:c r="B32" s="5" t="inlineStr">
        <x:is>
          <x:t xml:space="preserve">Germination Engine (Microgreens)</x:t>
        </x:is>
      </x:c>
      <x:c r="C32" s="5" t="inlineStr">
        <x:is>
          <x:t xml:space="preserve">Irrigation &amp; Equipment</x:t>
        </x:is>
      </x:c>
      <x:c r="D32" s="5" t="inlineStr">
        <x:is>
          <x:t xml:space="preserve">Inline water meter</x:t>
        </x:is>
      </x:c>
      <x:c r="E32" s="5" t="inlineStr">
        <x:is>
          <x:t xml:space="preserve">Track clean water use</x:t>
        </x:is>
      </x:c>
      <x:c r="F32" s="12" t="n">
        <x:v>1</x:v>
      </x:c>
      <x:c r="G32" s="10" t="inlineStr">
        <x:is>
          <x:t xml:space="preserve">ea</x:t>
        </x:is>
      </x:c>
      <x:c r="H32" s="5" t="inlineStr">
        <x:is>
          <x:t xml:space="preserve">Plumbing</x:t>
        </x:is>
      </x:c>
      <x:c r="I32" s="10" t="inlineStr">
        <x:is>
          <x:t xml:space="preserve">MV</x:t>
        </x:is>
      </x:c>
      <x:c r="J32" s="11" t="inlineStr">
        <x:is>
          <x:t xml:space="preserve"/>
        </x:is>
      </x:c>
      <x:c r="K32" s="6">
        <x:f>IF(AND(ISNUMBER(F32),ISNUMBER(J32)),F32*J32,"")</x:f>
      </x:c>
      <x:c r="L32" s="5" t="inlineStr">
        <x:is>
          <x:t xml:space="preserve"/>
        </x:is>
      </x:c>
    </x:row>
    <x:row r="33" ht="42" customHeight="1">
      <x:c r="A33" s="5" t="inlineStr">
        <x:is>
          <x:t xml:space="preserve">Production</x:t>
        </x:is>
      </x:c>
      <x:c r="B33" s="5" t="inlineStr">
        <x:is>
          <x:t xml:space="preserve">Germination Engine (Microgreens)</x:t>
        </x:is>
      </x:c>
      <x:c r="C33" s="5" t="inlineStr">
        <x:is>
          <x:t xml:space="preserve">Irrigation &amp; Equipment</x:t>
        </x:is>
      </x:c>
      <x:c r="D33" s="5" t="inlineStr">
        <x:is>
          <x:t xml:space="preserve">Smart plug / energy logger</x:t>
        </x:is>
      </x:c>
      <x:c r="E33" s="5" t="inlineStr">
        <x:is>
          <x:t xml:space="preserve">Runtime + kWh tracking</x:t>
        </x:is>
      </x:c>
      <x:c r="F33" s="12" t="n">
        <x:v>1</x:v>
      </x:c>
      <x:c r="G33" s="10" t="inlineStr">
        <x:is>
          <x:t xml:space="preserve">ea</x:t>
        </x:is>
      </x:c>
      <x:c r="H33" s="5" t="inlineStr">
        <x:is>
          <x:t xml:space="preserve">Controls/Electrical</x:t>
        </x:is>
      </x:c>
      <x:c r="I33" s="10" t="inlineStr">
        <x:is>
          <x:t xml:space="preserve">MV</x:t>
        </x:is>
      </x:c>
      <x:c r="J33" s="11" t="inlineStr">
        <x:is>
          <x:t xml:space="preserve"/>
        </x:is>
      </x:c>
      <x:c r="K33" s="6">
        <x:f>IF(AND(ISNUMBER(F33),ISNUMBER(J33)),F33*J33,"")</x:f>
      </x:c>
      <x:c r="L33" s="5" t="inlineStr">
        <x:is>
          <x:t xml:space="preserve"/>
        </x:is>
      </x:c>
    </x:row>
    <x:row r="34" ht="42" customHeight="1">
      <x:c r="A34" s="5" t="inlineStr">
        <x:is>
          <x:t xml:space="preserve">Production</x:t>
        </x:is>
      </x:c>
      <x:c r="B34" s="5" t="inlineStr">
        <x:is>
          <x:t xml:space="preserve">Germination Engine (Microgreens)</x:t>
        </x:is>
      </x:c>
      <x:c r="C34" s="5" t="inlineStr">
        <x:is>
          <x:t xml:space="preserve">Irrigation &amp; Equipment</x:t>
        </x:is>
      </x:c>
      <x:c r="D34" s="5" t="inlineStr">
        <x:is>
          <x:t xml:space="preserve">Microgreen trays (reusable)</x:t>
        </x:is>
      </x:c>
      <x:c r="E34" s="5" t="inlineStr">
        <x:is>
          <x:t xml:space="preserve">Sized to racks</x:t>
        </x:is>
      </x:c>
      <x:c r="F34" s="12" t="n">
        <x:v>1</x:v>
      </x:c>
      <x:c r="G34" s="10" t="inlineStr">
        <x:is>
          <x:t xml:space="preserve">lot</x:t>
        </x:is>
      </x:c>
      <x:c r="H34" s="5" t="inlineStr">
        <x:is>
          <x:t xml:space="preserve">Food-safety</x:t>
        </x:is>
      </x:c>
      <x:c r="I34" s="10" t="inlineStr">
        <x:is>
          <x:t xml:space="preserve">MV</x:t>
        </x:is>
      </x:c>
      <x:c r="J34" s="11" t="inlineStr">
        <x:is>
          <x:t xml:space="preserve"/>
        </x:is>
      </x:c>
      <x:c r="K34" s="6">
        <x:f>IF(AND(ISNUMBER(F34),ISNUMBER(J34)),F34*J34,"")</x:f>
      </x:c>
      <x:c r="L34" s="5" t="inlineStr">
        <x:is>
          <x:t xml:space="preserve"/>
        </x:is>
      </x:c>
    </x:row>
    <x:row r="35" ht="42" customHeight="1">
      <x:c r="A35" s="5" t="inlineStr">
        <x:is>
          <x:t xml:space="preserve">Production</x:t>
        </x:is>
      </x:c>
      <x:c r="B35" s="5" t="inlineStr">
        <x:is>
          <x:t xml:space="preserve">Germination Engine (Microgreens)</x:t>
        </x:is>
      </x:c>
      <x:c r="C35" s="5" t="inlineStr">
        <x:is>
          <x:t xml:space="preserve">Irrigation &amp; Equipment</x:t>
        </x:is>
      </x:c>
      <x:c r="D35" s="5" t="inlineStr">
        <x:is>
          <x:t xml:space="preserve">PPE + sanitation tote</x:t>
        </x:is>
      </x:c>
      <x:c r="E35" s="5" t="inlineStr">
        <x:is>
          <x:t xml:space="preserve">Food-safe workflow kit</x:t>
        </x:is>
      </x:c>
      <x:c r="F35" s="12" t="n">
        <x:v>1</x:v>
      </x:c>
      <x:c r="G35" s="10" t="inlineStr">
        <x:is>
          <x:t xml:space="preserve">set</x:t>
        </x:is>
      </x:c>
      <x:c r="H35" s="5" t="inlineStr">
        <x:is>
          <x:t xml:space="preserve">Food-safety</x:t>
        </x:is>
      </x:c>
      <x:c r="I35" s="10" t="inlineStr">
        <x:is>
          <x:t xml:space="preserve">MV</x:t>
        </x:is>
      </x:c>
      <x:c r="J35" s="11" t="inlineStr">
        <x:is>
          <x:t xml:space="preserve"/>
        </x:is>
      </x:c>
      <x:c r="K35" s="6">
        <x:f>IF(AND(ISNUMBER(F35),ISNUMBER(J35)),F35*J35,"")</x:f>
      </x:c>
      <x:c r="L35" s="5" t="inlineStr">
        <x:is>
          <x:t xml:space="preserve"/>
        </x:is>
      </x:c>
    </x:row>
    <x:row r="36" ht="42" customHeight="1">
      <x:c r="A36" s="5" t="inlineStr">
        <x:is>
          <x:t xml:space="preserve">Production</x:t>
        </x:is>
      </x:c>
      <x:c r="B36" s="5" t="inlineStr">
        <x:is>
          <x:t xml:space="preserve">Germination Engine (Microgreens)</x:t>
        </x:is>
      </x:c>
      <x:c r="C36" s="5" t="inlineStr">
        <x:is>
          <x:t xml:space="preserve">Irrigation &amp; Equipment</x:t>
        </x:is>
      </x:c>
      <x:c r="D36" s="5" t="inlineStr">
        <x:is>
          <x:t xml:space="preserve">Digital pH/EC meter</x:t>
        </x:is>
      </x:c>
      <x:c r="E36" s="5" t="inlineStr">
        <x:is>
          <x:t xml:space="preserve">Water quality checks</x:t>
        </x:is>
      </x:c>
      <x:c r="F36" s="12" t="n">
        <x:v>1</x:v>
      </x:c>
      <x:c r="G36" s="10" t="inlineStr">
        <x:is>
          <x:t xml:space="preserve">ea</x:t>
        </x:is>
      </x:c>
      <x:c r="H36" s="5" t="inlineStr">
        <x:is>
          <x:t xml:space="preserve">Controls/Electrical</x:t>
        </x:is>
      </x:c>
      <x:c r="I36" s="10" t="inlineStr">
        <x:is>
          <x:t xml:space="preserve">MV</x:t>
        </x:is>
      </x:c>
      <x:c r="J36" s="11" t="inlineStr">
        <x:is>
          <x:t xml:space="preserve"/>
        </x:is>
      </x:c>
      <x:c r="K36" s="6">
        <x:f>IF(AND(ISNUMBER(F36),ISNUMBER(J36)),F36*J36,"")</x:f>
      </x:c>
      <x:c r="L36" s="5" t="inlineStr">
        <x:is>
          <x:t xml:space="preserve"/>
        </x:is>
      </x:c>
    </x:row>
    <x:row r="37" ht="42" customHeight="1">
      <x:c r="A37" s="5" t="inlineStr">
        <x:is>
          <x:t xml:space="preserve">Production</x:t>
        </x:is>
      </x:c>
      <x:c r="B37" s="5" t="inlineStr">
        <x:is>
          <x:t xml:space="preserve">Operator + Harvest Module</x:t>
        </x:is>
      </x:c>
      <x:c r="C37" s="5" t="inlineStr">
        <x:is>
          <x:t xml:space="preserve">Fixtures &amp; Stations</x:t>
        </x:is>
      </x:c>
      <x:c r="D37" s="5" t="inlineStr">
        <x:is>
          <x:t xml:space="preserve">NSF handwash sink + faucet</x:t>
        </x:is>
      </x:c>
      <x:c r="E37" s="5" t="inlineStr">
        <x:is>
          <x:t xml:space="preserve">Hot/cold; code compliant</x:t>
        </x:is>
      </x:c>
      <x:c r="F37" s="12" t="n">
        <x:v>1</x:v>
      </x:c>
      <x:c r="G37" s="10" t="inlineStr">
        <x:is>
          <x:t xml:space="preserve">ea</x:t>
        </x:is>
      </x:c>
      <x:c r="H37" s="5" t="inlineStr">
        <x:is>
          <x:t xml:space="preserve">Plumbing</x:t>
        </x:is>
      </x:c>
      <x:c r="I37" s="10" t="inlineStr">
        <x:is>
          <x:t xml:space="preserve">MV</x:t>
        </x:is>
      </x:c>
      <x:c r="J37" s="11" t="inlineStr">
        <x:is>
          <x:t xml:space="preserve"/>
        </x:is>
      </x:c>
      <x:c r="K37" s="6">
        <x:f>IF(AND(ISNUMBER(F37),ISNUMBER(J37)),F37*J37,"")</x:f>
      </x:c>
      <x:c r="L37" s="5" t="inlineStr">
        <x:is>
          <x:t xml:space="preserve"/>
        </x:is>
      </x:c>
    </x:row>
    <x:row r="38" ht="42" customHeight="1">
      <x:c r="A38" s="5" t="inlineStr">
        <x:is>
          <x:t xml:space="preserve">Production</x:t>
        </x:is>
      </x:c>
      <x:c r="B38" s="5" t="inlineStr">
        <x:is>
          <x:t xml:space="preserve">Operator + Harvest Module</x:t>
        </x:is>
      </x:c>
      <x:c r="C38" s="5" t="inlineStr">
        <x:is>
          <x:t xml:space="preserve">Fixtures &amp; Stations</x:t>
        </x:is>
      </x:c>
      <x:c r="D38" s="5" t="inlineStr">
        <x:is>
          <x:t xml:space="preserve">Hose bib / spray nozzle</x:t>
        </x:is>
      </x:c>
      <x:c r="E38" s="5" t="inlineStr">
        <x:is>
          <x:t xml:space="preserve">Washdown / tools</x:t>
        </x:is>
      </x:c>
      <x:c r="F38" s="12" t="n">
        <x:v>1</x:v>
      </x:c>
      <x:c r="G38" s="10" t="inlineStr">
        <x:is>
          <x:t xml:space="preserve">set</x:t>
        </x:is>
      </x:c>
      <x:c r="H38" s="5" t="inlineStr">
        <x:is>
          <x:t xml:space="preserve">Plumbing</x:t>
        </x:is>
      </x:c>
      <x:c r="I38" s="10" t="inlineStr">
        <x:is>
          <x:t xml:space="preserve">MV</x:t>
        </x:is>
      </x:c>
      <x:c r="J38" s="11" t="inlineStr">
        <x:is>
          <x:t xml:space="preserve"/>
        </x:is>
      </x:c>
      <x:c r="K38" s="6">
        <x:f>IF(AND(ISNUMBER(F38),ISNUMBER(J38)),F38*J38,"")</x:f>
      </x:c>
      <x:c r="L38" s="5" t="inlineStr">
        <x:is>
          <x:t xml:space="preserve"/>
        </x:is>
      </x:c>
    </x:row>
    <x:row r="39" ht="42" customHeight="1">
      <x:c r="A39" s="5" t="inlineStr">
        <x:is>
          <x:t xml:space="preserve">Production</x:t>
        </x:is>
      </x:c>
      <x:c r="B39" s="5" t="inlineStr">
        <x:is>
          <x:t xml:space="preserve">Operator + Harvest Module</x:t>
        </x:is>
      </x:c>
      <x:c r="C39" s="5" t="inlineStr">
        <x:is>
          <x:t xml:space="preserve">Fixtures &amp; Stations</x:t>
        </x:is>
      </x:c>
      <x:c r="D39" s="5" t="inlineStr">
        <x:is>
          <x:t xml:space="preserve">Workbench / prep table</x:t>
        </x:is>
      </x:c>
      <x:c r="E39" s="5" t="inlineStr">
        <x:is>
          <x:t xml:space="preserve">Harvest station</x:t>
        </x:is>
      </x:c>
      <x:c r="F39" s="12" t="n">
        <x:v>1</x:v>
      </x:c>
      <x:c r="G39" s="10" t="inlineStr">
        <x:is>
          <x:t xml:space="preserve">ea</x:t>
        </x:is>
      </x:c>
      <x:c r="H39" s="5" t="inlineStr">
        <x:is>
          <x:t xml:space="preserve">Structural</x:t>
        </x:is>
      </x:c>
      <x:c r="I39" s="10" t="inlineStr">
        <x:is>
          <x:t xml:space="preserve">MV</x:t>
        </x:is>
      </x:c>
      <x:c r="J39" s="11" t="inlineStr">
        <x:is>
          <x:t xml:space="preserve"/>
        </x:is>
      </x:c>
      <x:c r="K39" s="6">
        <x:f>IF(AND(ISNUMBER(F39),ISNUMBER(J39)),F39*J39,"")</x:f>
      </x:c>
      <x:c r="L39" s="5" t="inlineStr">
        <x:is>
          <x:t xml:space="preserve"/>
        </x:is>
      </x:c>
    </x:row>
    <x:row r="40" ht="42" customHeight="1">
      <x:c r="A40" s="5" t="inlineStr">
        <x:is>
          <x:t xml:space="preserve">Production</x:t>
        </x:is>
      </x:c>
      <x:c r="B40" s="5" t="inlineStr">
        <x:is>
          <x:t xml:space="preserve">Operator + Harvest Module</x:t>
        </x:is>
      </x:c>
      <x:c r="C40" s="5" t="inlineStr">
        <x:is>
          <x:t xml:space="preserve">Fixtures &amp; Stations</x:t>
        </x:is>
      </x:c>
      <x:c r="D40" s="5" t="inlineStr">
        <x:is>
          <x:t xml:space="preserve">Sanitizer station</x:t>
        </x:is>
      </x:c>
      <x:c r="E40" s="5" t="inlineStr">
        <x:is>
          <x:t xml:space="preserve">Food safety</x:t>
        </x:is>
      </x:c>
      <x:c r="F40" s="12" t="n">
        <x:v>1</x:v>
      </x:c>
      <x:c r="G40" s="10" t="inlineStr">
        <x:is>
          <x:t xml:space="preserve">ea</x:t>
        </x:is>
      </x:c>
      <x:c r="H40" s="5" t="inlineStr">
        <x:is>
          <x:t xml:space="preserve">Food-safety</x:t>
        </x:is>
      </x:c>
      <x:c r="I40" s="10" t="inlineStr">
        <x:is>
          <x:t xml:space="preserve">MV</x:t>
        </x:is>
      </x:c>
      <x:c r="J40" s="11" t="inlineStr">
        <x:is>
          <x:t xml:space="preserve"/>
        </x:is>
      </x:c>
      <x:c r="K40" s="6">
        <x:f>IF(AND(ISNUMBER(F40),ISNUMBER(J40)),F40*J40,"")</x:f>
      </x:c>
      <x:c r="L40" s="5" t="inlineStr">
        <x:is>
          <x:t xml:space="preserve"/>
        </x:is>
      </x:c>
    </x:row>
    <x:row r="41" ht="42" customHeight="1">
      <x:c r="A41" s="5" t="inlineStr">
        <x:is>
          <x:t xml:space="preserve">Production</x:t>
        </x:is>
      </x:c>
      <x:c r="B41" s="5" t="inlineStr">
        <x:is>
          <x:t xml:space="preserve">Operator + Harvest Module</x:t>
        </x:is>
      </x:c>
      <x:c r="C41" s="5" t="inlineStr">
        <x:is>
          <x:t xml:space="preserve">Fixtures &amp; Stations</x:t>
        </x:is>
      </x:c>
      <x:c r="D41" s="5" t="inlineStr">
        <x:is>
          <x:t xml:space="preserve">Floor drain + trap</x:t>
        </x:is>
      </x:c>
      <x:c r="E41" s="5" t="inlineStr">
        <x:is>
          <x:t xml:space="preserve">Drain to Head 2</x:t>
        </x:is>
      </x:c>
      <x:c r="F41" s="12" t="n">
        <x:v>1</x:v>
      </x:c>
      <x:c r="G41" s="10" t="inlineStr">
        <x:is>
          <x:t xml:space="preserve">set</x:t>
        </x:is>
      </x:c>
      <x:c r="H41" s="5" t="inlineStr">
        <x:is>
          <x:t xml:space="preserve">Plumbing</x:t>
        </x:is>
      </x:c>
      <x:c r="I41" s="10" t="inlineStr">
        <x:is>
          <x:t xml:space="preserve">MV</x:t>
        </x:is>
      </x:c>
      <x:c r="J41" s="11" t="inlineStr">
        <x:is>
          <x:t xml:space="preserve"/>
        </x:is>
      </x:c>
      <x:c r="K41" s="6">
        <x:f>IF(AND(ISNUMBER(F41),ISNUMBER(J41)),F41*J41,"")</x:f>
      </x:c>
      <x:c r="L41" s="5" t="inlineStr">
        <x:is>
          <x:t xml:space="preserve"/>
        </x:is>
      </x:c>
    </x:row>
    <x:row r="42" ht="42" customHeight="1">
      <x:c r="A42" s="5" t="inlineStr">
        <x:is>
          <x:t xml:space="preserve">Production</x:t>
        </x:is>
      </x:c>
      <x:c r="B42" s="5" t="inlineStr">
        <x:is>
          <x:t xml:space="preserve">Operator + Harvest Module</x:t>
        </x:is>
      </x:c>
      <x:c r="C42" s="5" t="inlineStr">
        <x:is>
          <x:t xml:space="preserve">Fixtures &amp; Stations</x:t>
        </x:is>
      </x:c>
      <x:c r="D42" s="5" t="inlineStr">
        <x:is>
          <x:t xml:space="preserve">Task lighting</x:t>
        </x:is>
      </x:c>
      <x:c r="E42" s="5" t="inlineStr">
        <x:is>
          <x:t xml:space="preserve">Harvest visibility</x:t>
        </x:is>
      </x:c>
      <x:c r="F42" s="12" t="n">
        <x:v>1</x:v>
      </x:c>
      <x:c r="G42" s="10" t="inlineStr">
        <x:is>
          <x:t xml:space="preserve">set</x:t>
        </x:is>
      </x:c>
      <x:c r="H42" s="5" t="inlineStr">
        <x:is>
          <x:t xml:space="preserve">Electrical</x:t>
        </x:is>
      </x:c>
      <x:c r="I42" s="10" t="inlineStr">
        <x:is>
          <x:t xml:space="preserve">MV</x:t>
        </x:is>
      </x:c>
      <x:c r="J42" s="11" t="inlineStr">
        <x:is>
          <x:t xml:space="preserve"/>
        </x:is>
      </x:c>
      <x:c r="K42" s="6">
        <x:f>IF(AND(ISNUMBER(F42),ISNUMBER(J42)),F42*J42,"")</x:f>
      </x:c>
      <x:c r="L42" s="5" t="inlineStr">
        <x:is>
          <x:t xml:space="preserve"/>
        </x:is>
      </x:c>
    </x:row>
    <x:row r="43" ht="42" customHeight="1">
      <x:c r="A43" s="5" t="inlineStr">
        <x:is>
          <x:t xml:space="preserve">Production</x:t>
        </x:is>
      </x:c>
      <x:c r="B43" s="5" t="inlineStr">
        <x:is>
          <x:t xml:space="preserve">Operator + Harvest Module</x:t>
        </x:is>
      </x:c>
      <x:c r="C43" s="5" t="inlineStr">
        <x:is>
          <x:t xml:space="preserve">Fixtures &amp; Stations</x:t>
        </x:is>
      </x:c>
      <x:c r="D43" s="5" t="inlineStr">
        <x:is>
          <x:t xml:space="preserve">Cooler / refrigeration unit (if included)</x:t>
        </x:is>
      </x:c>
      <x:c r="E43" s="5" t="inlineStr">
        <x:is>
          <x:t xml:space="preserve">Cold chain module</x:t>
        </x:is>
      </x:c>
      <x:c r="F43" s="12" t="n">
        <x:v>1</x:v>
      </x:c>
      <x:c r="G43" s="10" t="inlineStr">
        <x:is>
          <x:t xml:space="preserve">ea</x:t>
        </x:is>
      </x:c>
      <x:c r="H43" s="5" t="inlineStr">
        <x:is>
          <x:t xml:space="preserve">HVAC</x:t>
        </x:is>
      </x:c>
      <x:c r="I43" s="10" t="inlineStr">
        <x:is>
          <x:t xml:space="preserve">MV</x:t>
        </x:is>
      </x:c>
      <x:c r="J43" s="11" t="inlineStr">
        <x:is>
          <x:t xml:space="preserve"/>
        </x:is>
      </x:c>
      <x:c r="K43" s="6">
        <x:f>IF(AND(ISNUMBER(F43),ISNUMBER(J43)),F43*J43,"")</x:f>
      </x:c>
      <x:c r="L43" s="5" t="inlineStr">
        <x:is>
          <x:t xml:space="preserve"/>
        </x:is>
      </x:c>
    </x:row>
    <x:row r="44" ht="42" customHeight="1">
      <x:c r="A44" s="5" t="inlineStr">
        <x:is>
          <x:t xml:space="preserve">Production</x:t>
        </x:is>
      </x:c>
      <x:c r="B44" s="5" t="inlineStr">
        <x:is>
          <x:t xml:space="preserve">Controls &amp; Networking</x:t>
        </x:is>
      </x:c>
      <x:c r="C44" s="5" t="inlineStr">
        <x:is>
          <x:t xml:space="preserve">Controls</x:t>
        </x:is>
      </x:c>
      <x:c r="D44" s="5" t="inlineStr">
        <x:is>
          <x:t xml:space="preserve">PLC / edge controller</x:t>
        </x:is>
      </x:c>
      <x:c r="E44" s="5" t="inlineStr">
        <x:is>
          <x:t xml:space="preserve">Local deterministic control; export telemetry</x:t>
        </x:is>
      </x:c>
      <x:c r="F44" s="10" t="inlineStr">
        <x:is>
          <x:t xml:space="preserve"/>
        </x:is>
      </x:c>
      <x:c r="G44" s="10" t="inlineStr">
        <x:is>
          <x:t xml:space="preserve"/>
        </x:is>
      </x:c>
      <x:c r="H44" s="5" t="inlineStr">
        <x:is>
          <x:t xml:space="preserve">Controls/Electrical</x:t>
        </x:is>
      </x:c>
      <x:c r="I44" s="10" t="inlineStr">
        <x:is>
          <x:t xml:space="preserve">MV</x:t>
        </x:is>
      </x:c>
      <x:c r="J44" s="11" t="inlineStr">
        <x:is>
          <x:t xml:space="preserve"/>
        </x:is>
      </x:c>
      <x:c r="K44" s="6">
        <x:f>IF(AND(ISNUMBER(F44),ISNUMBER(J44)),F44*J44,"")</x:f>
      </x:c>
      <x:c r="L44" s="5" t="inlineStr">
        <x:is>
          <x:t xml:space="preserve"/>
        </x:is>
      </x:c>
    </x:row>
    <x:row r="45" ht="42" customHeight="1">
      <x:c r="A45" s="5" t="inlineStr">
        <x:is>
          <x:t xml:space="preserve">Production</x:t>
        </x:is>
      </x:c>
      <x:c r="B45" s="5" t="inlineStr">
        <x:is>
          <x:t xml:space="preserve">Controls &amp; Networking</x:t>
        </x:is>
      </x:c>
      <x:c r="C45" s="5" t="inlineStr">
        <x:is>
          <x:t xml:space="preserve">Controls</x:t>
        </x:is>
      </x:c>
      <x:c r="D45" s="5" t="inlineStr">
        <x:is>
          <x:t xml:space="preserve">I/O modules</x:t>
        </x:is>
      </x:c>
      <x:c r="E45" s="5" t="inlineStr">
        <x:is>
          <x:t xml:space="preserve">Sensor + actuator interfacing</x:t>
        </x:is>
      </x:c>
      <x:c r="F45" s="10" t="inlineStr">
        <x:is>
          <x:t xml:space="preserve"/>
        </x:is>
      </x:c>
      <x:c r="G45" s="10" t="inlineStr">
        <x:is>
          <x:t xml:space="preserve"/>
        </x:is>
      </x:c>
      <x:c r="H45" s="5" t="inlineStr">
        <x:is>
          <x:t xml:space="preserve">Controls/Electrical</x:t>
        </x:is>
      </x:c>
      <x:c r="I45" s="10" t="inlineStr">
        <x:is>
          <x:t xml:space="preserve">MV</x:t>
        </x:is>
      </x:c>
      <x:c r="J45" s="11" t="inlineStr">
        <x:is>
          <x:t xml:space="preserve"/>
        </x:is>
      </x:c>
      <x:c r="K45" s="6">
        <x:f>IF(AND(ISNUMBER(F45),ISNUMBER(J45)),F45*J45,"")</x:f>
      </x:c>
      <x:c r="L45" s="5" t="inlineStr">
        <x:is>
          <x:t xml:space="preserve"/>
        </x:is>
      </x:c>
    </x:row>
    <x:row r="46" ht="42" customHeight="1">
      <x:c r="A46" s="5" t="inlineStr">
        <x:is>
          <x:t xml:space="preserve">Production</x:t>
        </x:is>
      </x:c>
      <x:c r="B46" s="5" t="inlineStr">
        <x:is>
          <x:t xml:space="preserve">Controls &amp; Networking</x:t>
        </x:is>
      </x:c>
      <x:c r="C46" s="5" t="inlineStr">
        <x:is>
          <x:t xml:space="preserve">Controls</x:t>
        </x:is>
      </x:c>
      <x:c r="D46" s="5" t="inlineStr">
        <x:is>
          <x:t xml:space="preserve">Gateway / data layer</x:t>
        </x:is>
      </x:c>
      <x:c r="E46" s="5" t="inlineStr">
        <x:is>
          <x:t xml:space="preserve">MQTT/OPC-UA; local buffer DB</x:t>
        </x:is>
      </x:c>
      <x:c r="F46" s="10" t="inlineStr">
        <x:is>
          <x:t xml:space="preserve"/>
        </x:is>
      </x:c>
      <x:c r="G46" s="10" t="inlineStr">
        <x:is>
          <x:t xml:space="preserve"/>
        </x:is>
      </x:c>
      <x:c r="H46" s="5" t="inlineStr">
        <x:is>
          <x:t xml:space="preserve">Controls/Electrical</x:t>
        </x:is>
      </x:c>
      <x:c r="I46" s="10" t="inlineStr">
        <x:is>
          <x:t xml:space="preserve">MV</x:t>
        </x:is>
      </x:c>
      <x:c r="J46" s="11" t="inlineStr">
        <x:is>
          <x:t xml:space="preserve"/>
        </x:is>
      </x:c>
      <x:c r="K46" s="6">
        <x:f>IF(AND(ISNUMBER(F46),ISNUMBER(J46)),F46*J46,"")</x:f>
      </x:c>
      <x:c r="L46" s="5" t="inlineStr">
        <x:is>
          <x:t xml:space="preserve"/>
        </x:is>
      </x:c>
    </x:row>
    <x:row r="47" ht="42" customHeight="1">
      <x:c r="A47" s="5" t="inlineStr">
        <x:is>
          <x:t xml:space="preserve">Production</x:t>
        </x:is>
      </x:c>
      <x:c r="B47" s="5" t="inlineStr">
        <x:is>
          <x:t xml:space="preserve">Controls &amp; Networking</x:t>
        </x:is>
      </x:c>
      <x:c r="C47" s="5" t="inlineStr">
        <x:is>
          <x:t xml:space="preserve">Controls</x:t>
        </x:is>
      </x:c>
      <x:c r="D47" s="5" t="inlineStr">
        <x:is>
          <x:t xml:space="preserve">Network gear (switch/router/Wi‑Fi)</x:t>
        </x:is>
      </x:c>
      <x:c r="E47" s="5" t="inlineStr">
        <x:is>
          <x:t xml:space="preserve">Ruggedized as needed</x:t>
        </x:is>
      </x:c>
      <x:c r="F47" s="10" t="inlineStr">
        <x:is>
          <x:t xml:space="preserve"/>
        </x:is>
      </x:c>
      <x:c r="G47" s="10" t="inlineStr">
        <x:is>
          <x:t xml:space="preserve"/>
        </x:is>
      </x:c>
      <x:c r="H47" s="5" t="inlineStr">
        <x:is>
          <x:t xml:space="preserve">Controls/Electrical</x:t>
        </x:is>
      </x:c>
      <x:c r="I47" s="10" t="inlineStr">
        <x:is>
          <x:t xml:space="preserve">MV</x:t>
        </x:is>
      </x:c>
      <x:c r="J47" s="11" t="inlineStr">
        <x:is>
          <x:t xml:space="preserve"/>
        </x:is>
      </x:c>
      <x:c r="K47" s="6">
        <x:f>IF(AND(ISNUMBER(F47),ISNUMBER(J47)),F47*J47,"")</x:f>
      </x:c>
      <x:c r="L47" s="5" t="inlineStr">
        <x:is>
          <x:t xml:space="preserve"/>
        </x:is>
      </x:c>
    </x:row>
    <x:row r="48" ht="42" customHeight="1">
      <x:c r="A48" s="5" t="inlineStr">
        <x:is>
          <x:t xml:space="preserve">Production</x:t>
        </x:is>
      </x:c>
      <x:c r="B48" s="5" t="inlineStr">
        <x:is>
          <x:t xml:space="preserve">Controls &amp; Networking</x:t>
        </x:is>
      </x:c>
      <x:c r="C48" s="5" t="inlineStr">
        <x:is>
          <x:t xml:space="preserve">Controls</x:t>
        </x:is>
      </x:c>
      <x:c r="D48" s="5" t="inlineStr">
        <x:is>
          <x:t xml:space="preserve">HMI tablet / panel</x:t>
        </x:is>
      </x:c>
      <x:c r="E48" s="5" t="inlineStr">
        <x:is>
          <x:t xml:space="preserve">Local interface for operators</x:t>
        </x:is>
      </x:c>
      <x:c r="F48" s="10" t="inlineStr">
        <x:is>
          <x:t xml:space="preserve"/>
        </x:is>
      </x:c>
      <x:c r="G48" s="10" t="inlineStr">
        <x:is>
          <x:t xml:space="preserve"/>
        </x:is>
      </x:c>
      <x:c r="H48" s="5" t="inlineStr">
        <x:is>
          <x:t xml:space="preserve">Controls/Electrical</x:t>
        </x:is>
      </x:c>
      <x:c r="I48" s="10" t="inlineStr">
        <x:is>
          <x:t xml:space="preserve">MV</x:t>
        </x:is>
      </x:c>
      <x:c r="J48" s="11" t="inlineStr">
        <x:is>
          <x:t xml:space="preserve"/>
        </x:is>
      </x:c>
      <x:c r="K48" s="6">
        <x:f>IF(AND(ISNUMBER(F48),ISNUMBER(J48)),F48*J48,"")</x:f>
      </x:c>
      <x:c r="L48" s="5" t="inlineStr">
        <x:is>
          <x:t xml:space="preserve"/>
        </x:is>
      </x:c>
    </x:row>
    <x:row r="49" ht="42" customHeight="1">
      <x:c r="A49" s="5" t="inlineStr">
        <x:is>
          <x:t xml:space="preserve">Production</x:t>
        </x:is>
      </x:c>
      <x:c r="B49" s="5" t="inlineStr">
        <x:is>
          <x:t xml:space="preserve">Operator Cabin (Utilities)</x:t>
        </x:is>
      </x:c>
      <x:c r="C49" s="5" t="inlineStr">
        <x:is>
          <x:t xml:space="preserve">Utilities</x:t>
        </x:is>
      </x:c>
      <x:c r="D49" s="5" t="inlineStr">
        <x:is>
          <x:t xml:space="preserve">Marine filtration system</x:t>
        </x:is>
      </x:c>
      <x:c r="E49" s="5" t="inlineStr">
        <x:is>
          <x:t xml:space="preserve">Optional additional filtration stage</x:t>
        </x:is>
      </x:c>
      <x:c r="F49" s="12" t="n">
        <x:v>1</x:v>
      </x:c>
      <x:c r="G49" s="10" t="inlineStr">
        <x:is>
          <x:t xml:space="preserve">ea</x:t>
        </x:is>
      </x:c>
      <x:c r="H49" s="5" t="inlineStr">
        <x:is>
          <x:t xml:space="preserve">Plumbing</x:t>
        </x:is>
      </x:c>
      <x:c r="I49" s="10" t="inlineStr">
        <x:is>
          <x:t xml:space="preserve">MV</x:t>
        </x:is>
      </x:c>
      <x:c r="J49" s="11" t="inlineStr">
        <x:is>
          <x:t xml:space="preserve"/>
        </x:is>
      </x:c>
      <x:c r="K49" s="6">
        <x:f>IF(AND(ISNUMBER(F49),ISNUMBER(J49)),F49*J49,"")</x:f>
      </x:c>
      <x:c r="L49" s="5" t="inlineStr">
        <x:is>
          <x:t xml:space="preserve"/>
        </x:is>
      </x:c>
    </x:row>
    <x:row r="50" ht="42" customHeight="1">
      <x:c r="A50" s="5" t="inlineStr">
        <x:is>
          <x:t xml:space="preserve">Production</x:t>
        </x:is>
      </x:c>
      <x:c r="B50" s="5" t="inlineStr">
        <x:is>
          <x:t xml:space="preserve">Operator Cabin (Utilities)</x:t>
        </x:is>
      </x:c>
      <x:c r="C50" s="5" t="inlineStr">
        <x:is>
          <x:t xml:space="preserve">Utilities</x:t>
        </x:is>
      </x:c>
      <x:c r="D50" s="5" t="inlineStr">
        <x:is>
          <x:t xml:space="preserve">20-gal potable buffer tank</x:t>
        </x:is>
      </x:c>
      <x:c r="E50" s="5" t="inlineStr">
        <x:is>
          <x:t xml:space="preserve">Clean buffer</x:t>
        </x:is>
      </x:c>
      <x:c r="F50" s="12" t="n">
        <x:v>1</x:v>
      </x:c>
      <x:c r="G50" s="10" t="inlineStr">
        <x:is>
          <x:t xml:space="preserve">ea</x:t>
        </x:is>
      </x:c>
      <x:c r="H50" s="5" t="inlineStr">
        <x:is>
          <x:t xml:space="preserve">Plumbing</x:t>
        </x:is>
      </x:c>
      <x:c r="I50" s="10" t="inlineStr">
        <x:is>
          <x:t xml:space="preserve">MV</x:t>
        </x:is>
      </x:c>
      <x:c r="J50" s="11" t="inlineStr">
        <x:is>
          <x:t xml:space="preserve"/>
        </x:is>
      </x:c>
      <x:c r="K50" s="6">
        <x:f>IF(AND(ISNUMBER(F50),ISNUMBER(J50)),F50*J50,"")</x:f>
      </x:c>
      <x:c r="L50" s="5" t="inlineStr">
        <x:is>
          <x:t xml:space="preserve"/>
        </x:is>
      </x:c>
    </x:row>
    <x:row r="51" ht="42" customHeight="1">
      <x:c r="A51" s="5" t="inlineStr">
        <x:is>
          <x:t xml:space="preserve">Production</x:t>
        </x:is>
      </x:c>
      <x:c r="B51" s="5" t="inlineStr">
        <x:is>
          <x:t xml:space="preserve">Operator Cabin (Utilities)</x:t>
        </x:is>
      </x:c>
      <x:c r="C51" s="5" t="inlineStr">
        <x:is>
          <x:t xml:space="preserve">Utilities</x:t>
        </x:is>
      </x:c>
      <x:c r="D51" s="5" t="inlineStr">
        <x:is>
          <x:t xml:space="preserve">Elevated bladder(s)</x:t>
        </x:is>
      </x:c>
      <x:c r="E51" s="5" t="inlineStr">
        <x:is>
          <x:t xml:space="preserve">Gravity reference head(s)</x:t>
        </x:is>
      </x:c>
      <x:c r="F51" s="12" t="n">
        <x:v>1</x:v>
      </x:c>
      <x:c r="G51" s="10" t="inlineStr">
        <x:is>
          <x:t xml:space="preserve">set</x:t>
        </x:is>
      </x:c>
      <x:c r="H51" s="5" t="inlineStr">
        <x:is>
          <x:t xml:space="preserve">Plumbing</x:t>
        </x:is>
      </x:c>
      <x:c r="I51" s="10" t="inlineStr">
        <x:is>
          <x:t xml:space="preserve">MV</x:t>
        </x:is>
      </x:c>
      <x:c r="J51" s="11" t="inlineStr">
        <x:is>
          <x:t xml:space="preserve"/>
        </x:is>
      </x:c>
      <x:c r="K51" s="6">
        <x:f>IF(AND(ISNUMBER(F51),ISNUMBER(J51)),F51*J51,"")</x:f>
      </x:c>
      <x:c r="L51" s="5" t="inlineStr">
        <x:is>
          <x:t xml:space="preserve"/>
        </x:is>
      </x:c>
    </x:row>
    <x:row r="52" ht="42" customHeight="1">
      <x:c r="A52" s="5" t="inlineStr">
        <x:is>
          <x:t xml:space="preserve">Production</x:t>
        </x:is>
      </x:c>
      <x:c r="B52" s="5" t="inlineStr">
        <x:is>
          <x:t xml:space="preserve">Operator Cabin (Utilities)</x:t>
        </x:is>
      </x:c>
      <x:c r="C52" s="5" t="inlineStr">
        <x:is>
          <x:t xml:space="preserve">Utilities</x:t>
        </x:is>
      </x:c>
      <x:c r="D52" s="5" t="inlineStr">
        <x:is>
          <x:t xml:space="preserve">Solar PV kit (1–2 kW)</x:t>
        </x:is>
      </x:c>
      <x:c r="E52" s="5" t="inlineStr">
        <x:is>
          <x:t xml:space="preserve">On-site generation</x:t>
        </x:is>
      </x:c>
      <x:c r="F52" s="12" t="n">
        <x:v>1</x:v>
      </x:c>
      <x:c r="G52" s="10" t="inlineStr">
        <x:is>
          <x:t xml:space="preserve">set</x:t>
        </x:is>
      </x:c>
      <x:c r="H52" s="5" t="inlineStr">
        <x:is>
          <x:t xml:space="preserve">Solar/Thermal</x:t>
        </x:is>
      </x:c>
      <x:c r="I52" s="10" t="inlineStr">
        <x:is>
          <x:t xml:space="preserve">MV</x:t>
        </x:is>
      </x:c>
      <x:c r="J52" s="11" t="inlineStr">
        <x:is>
          <x:t xml:space="preserve"/>
        </x:is>
      </x:c>
      <x:c r="K52" s="6">
        <x:f>IF(AND(ISNUMBER(F52),ISNUMBER(J52)),F52*J52,"")</x:f>
      </x:c>
      <x:c r="L52" s="5" t="inlineStr">
        <x:is>
          <x:t xml:space="preserve"/>
        </x:is>
      </x:c>
    </x:row>
    <x:row r="53" ht="42" customHeight="1">
      <x:c r="A53" s="5" t="inlineStr">
        <x:is>
          <x:t xml:space="preserve">Production</x:t>
        </x:is>
      </x:c>
      <x:c r="B53" s="5" t="inlineStr">
        <x:is>
          <x:t xml:space="preserve">Operator Cabin (Utilities)</x:t>
        </x:is>
      </x:c>
      <x:c r="C53" s="5" t="inlineStr">
        <x:is>
          <x:t xml:space="preserve">Utilities</x:t>
        </x:is>
      </x:c>
      <x:c r="D53" s="5" t="inlineStr">
        <x:is>
          <x:t xml:space="preserve">Battery + inverter</x:t>
        </x:is>
      </x:c>
      <x:c r="E53" s="5" t="inlineStr">
        <x:is>
          <x:t xml:space="preserve">Critical loads buffer</x:t>
        </x:is>
      </x:c>
      <x:c r="F53" s="12" t="n">
        <x:v>1</x:v>
      </x:c>
      <x:c r="G53" s="10" t="inlineStr">
        <x:is>
          <x:t xml:space="preserve">set</x:t>
        </x:is>
      </x:c>
      <x:c r="H53" s="5" t="inlineStr">
        <x:is>
          <x:t xml:space="preserve">Electrical</x:t>
        </x:is>
      </x:c>
      <x:c r="I53" s="10" t="inlineStr">
        <x:is>
          <x:t xml:space="preserve">MV</x:t>
        </x:is>
      </x:c>
      <x:c r="J53" s="11" t="inlineStr">
        <x:is>
          <x:t xml:space="preserve"/>
        </x:is>
      </x:c>
      <x:c r="K53" s="6">
        <x:f>IF(AND(ISNUMBER(F53),ISNUMBER(J53)),F53*J53,"")</x:f>
      </x:c>
      <x:c r="L53" s="5" t="inlineStr">
        <x:is>
          <x:t xml:space="preserve"/>
        </x:is>
      </x:c>
    </x:row>
    <x:row r="54" ht="42" customHeight="1">
      <x:c r="A54" s="5" t="inlineStr">
        <x:is>
          <x:t xml:space="preserve">Production</x:t>
        </x:is>
      </x:c>
      <x:c r="B54" s="5" t="inlineStr">
        <x:is>
          <x:t xml:space="preserve">Operator Cabin (Utilities)</x:t>
        </x:is>
      </x:c>
      <x:c r="C54" s="5" t="inlineStr">
        <x:is>
          <x:t xml:space="preserve">Utilities</x:t>
        </x:is>
      </x:c>
      <x:c r="D54" s="5" t="inlineStr">
        <x:is>
          <x:t xml:space="preserve">Laptop / dashboard interface</x:t>
        </x:is>
      </x:c>
      <x:c r="E54" s="5" t="inlineStr">
        <x:is>
          <x:t xml:space="preserve">Local dashboard</x:t>
        </x:is>
      </x:c>
      <x:c r="F54" s="12" t="n">
        <x:v>1</x:v>
      </x:c>
      <x:c r="G54" s="10" t="inlineStr">
        <x:is>
          <x:t xml:space="preserve">ea</x:t>
        </x:is>
      </x:c>
      <x:c r="H54" s="5" t="inlineStr">
        <x:is>
          <x:t xml:space="preserve">Controls/Electrical</x:t>
        </x:is>
      </x:c>
      <x:c r="I54" s="10" t="inlineStr">
        <x:is>
          <x:t xml:space="preserve">MV</x:t>
        </x:is>
      </x:c>
      <x:c r="J54" s="11" t="inlineStr">
        <x:is>
          <x:t xml:space="preserve"/>
        </x:is>
      </x:c>
      <x:c r="K54" s="6">
        <x:f>IF(AND(ISNUMBER(F54),ISNUMBER(J54)),F54*J54,"")</x:f>
      </x:c>
      <x:c r="L54" s="5" t="inlineStr">
        <x:is>
          <x:t xml:space="preserve"/>
        </x:is>
      </x:c>
    </x:row>
    <x:row r="55" ht="42" customHeight="1">
      <x:c r="A55" s="5" t="inlineStr">
        <x:is>
          <x:t xml:space="preserve">Production</x:t>
        </x:is>
      </x:c>
      <x:c r="B55" s="5" t="inlineStr">
        <x:is>
          <x:t xml:space="preserve">Operator Cabin (Utilities)</x:t>
        </x:is>
      </x:c>
      <x:c r="C55" s="5" t="inlineStr">
        <x:is>
          <x:t xml:space="preserve">Utilities</x:t>
        </x:is>
      </x:c>
      <x:c r="D55" s="5" t="inlineStr">
        <x:is>
          <x:t xml:space="preserve">Water meter</x:t>
        </x:is>
      </x:c>
      <x:c r="E55" s="5" t="inlineStr">
        <x:is>
          <x:t xml:space="preserve">Clean/dirty tracking</x:t>
        </x:is>
      </x:c>
      <x:c r="F55" s="12" t="n">
        <x:v>1</x:v>
      </x:c>
      <x:c r="G55" s="10" t="inlineStr">
        <x:is>
          <x:t xml:space="preserve">ea</x:t>
        </x:is>
      </x:c>
      <x:c r="H55" s="5" t="inlineStr">
        <x:is>
          <x:t xml:space="preserve">Plumbing</x:t>
        </x:is>
      </x:c>
      <x:c r="I55" s="10" t="inlineStr">
        <x:is>
          <x:t xml:space="preserve">MV</x:t>
        </x:is>
      </x:c>
      <x:c r="J55" s="11" t="inlineStr">
        <x:is>
          <x:t xml:space="preserve"/>
        </x:is>
      </x:c>
      <x:c r="K55" s="6">
        <x:f>IF(AND(ISNUMBER(F55),ISNUMBER(J55)),F55*J55,"")</x:f>
      </x:c>
      <x:c r="L55" s="5" t="inlineStr">
        <x:is>
          <x:t xml:space="preserve"/>
        </x:is>
      </x:c>
    </x:row>
    <x:row r="56" ht="42" customHeight="1">
      <x:c r="A56" s="5" t="inlineStr">
        <x:is>
          <x:t xml:space="preserve">Production</x:t>
        </x:is>
      </x:c>
      <x:c r="B56" s="5" t="inlineStr">
        <x:is>
          <x:t xml:space="preserve">Operator Cabin (Utilities)</x:t>
        </x:is>
      </x:c>
      <x:c r="C56" s="5" t="inlineStr">
        <x:is>
          <x:t xml:space="preserve">Utilities</x:t>
        </x:is>
      </x:c>
      <x:c r="D56" s="5" t="inlineStr">
        <x:is>
          <x:t xml:space="preserve">Power logger</x:t>
        </x:is>
      </x:c>
      <x:c r="E56" s="5" t="inlineStr">
        <x:is>
          <x:t xml:space="preserve">kWh tracking</x:t>
        </x:is>
      </x:c>
      <x:c r="F56" s="12" t="n">
        <x:v>1</x:v>
      </x:c>
      <x:c r="G56" s="10" t="inlineStr">
        <x:is>
          <x:t xml:space="preserve">ea</x:t>
        </x:is>
      </x:c>
      <x:c r="H56" s="5" t="inlineStr">
        <x:is>
          <x:t xml:space="preserve">Controls/Electrical</x:t>
        </x:is>
      </x:c>
      <x:c r="I56" s="10" t="inlineStr">
        <x:is>
          <x:t xml:space="preserve">MV</x:t>
        </x:is>
      </x:c>
      <x:c r="J56" s="11" t="inlineStr">
        <x:is>
          <x:t xml:space="preserve"/>
        </x:is>
      </x:c>
      <x:c r="K56" s="6">
        <x:f>IF(AND(ISNUMBER(F56),ISNUMBER(J56)),F56*J56,"")</x:f>
      </x:c>
      <x:c r="L56" s="5" t="inlineStr">
        <x:is>
          <x:t xml:space="preserve"/>
        </x:is>
      </x:c>
    </x:row>
    <x:row r="57" ht="42" customHeight="1">
      <x:c r="A57" s="5" t="inlineStr">
        <x:is>
          <x:t xml:space="preserve">Boundary</x:t>
        </x:is>
      </x:c>
      <x:c r="B57" s="5" t="inlineStr">
        <x:is>
          <x:t xml:space="preserve">Head 2 (Clean Gravity Handoff)</x:t>
        </x:is>
      </x:c>
      <x:c r="C57" s="5" t="inlineStr">
        <x:is>
          <x:t xml:space="preserve">Boundary Hardware</x:t>
        </x:is>
      </x:c>
      <x:c r="D57" s="5" t="inlineStr">
        <x:is>
          <x:t xml:space="preserve">Boundary tank or bladder (Head 2)</x:t>
        </x:is>
      </x:c>
      <x:c r="E57" s="5" t="inlineStr">
        <x:is>
          <x:t xml:space="preserve">Atmospheric; calm inflow; defines clean→dirty handoff</x:t>
        </x:is>
      </x:c>
      <x:c r="F57" s="10" t="inlineStr">
        <x:is>
          <x:t xml:space="preserve"/>
        </x:is>
      </x:c>
      <x:c r="G57" s="10" t="inlineStr">
        <x:is>
          <x:t xml:space="preserve"/>
        </x:is>
      </x:c>
      <x:c r="H57" s="5" t="inlineStr">
        <x:is>
          <x:t xml:space="preserve">Plumbing</x:t>
        </x:is>
      </x:c>
      <x:c r="I57" s="10" t="inlineStr">
        <x:is>
          <x:t xml:space="preserve">MV</x:t>
        </x:is>
      </x:c>
      <x:c r="J57" s="11" t="inlineStr">
        <x:is>
          <x:t xml:space="preserve"/>
        </x:is>
      </x:c>
      <x:c r="K57" s="6">
        <x:f>IF(AND(ISNUMBER(F57),ISNUMBER(J57)),F57*J57,"")</x:f>
      </x:c>
      <x:c r="L57" s="5" t="inlineStr">
        <x:is>
          <x:t xml:space="preserve"/>
        </x:is>
      </x:c>
    </x:row>
    <x:row r="58" ht="42" customHeight="1">
      <x:c r="A58" s="5" t="inlineStr">
        <x:is>
          <x:t xml:space="preserve">Boundary</x:t>
        </x:is>
      </x:c>
      <x:c r="B58" s="5" t="inlineStr">
        <x:is>
          <x:t xml:space="preserve">Head 2 (Clean Gravity Handoff)</x:t>
        </x:is>
      </x:c>
      <x:c r="C58" s="5" t="inlineStr">
        <x:is>
          <x:t xml:space="preserve">Boundary Hardware</x:t>
        </x:is>
      </x:c>
      <x:c r="D58" s="5" t="inlineStr">
        <x:is>
          <x:t xml:space="preserve">Inlet diffuser / calm inlet</x:t>
        </x:is>
      </x:c>
      <x:c r="E58" s="5" t="inlineStr">
        <x:is>
          <x:t xml:space="preserve">Reduce turbulence; prevent re-aeration issues</x:t>
        </x:is>
      </x:c>
      <x:c r="F58" s="10" t="inlineStr">
        <x:is>
          <x:t xml:space="preserve"/>
        </x:is>
      </x:c>
      <x:c r="G58" s="10" t="inlineStr">
        <x:is>
          <x:t xml:space="preserve"/>
        </x:is>
      </x:c>
      <x:c r="H58" s="5" t="inlineStr">
        <x:is>
          <x:t xml:space="preserve">Plumbing</x:t>
        </x:is>
      </x:c>
      <x:c r="I58" s="10" t="inlineStr">
        <x:is>
          <x:t xml:space="preserve">MV</x:t>
        </x:is>
      </x:c>
      <x:c r="J58" s="11" t="inlineStr">
        <x:is>
          <x:t xml:space="preserve"/>
        </x:is>
      </x:c>
      <x:c r="K58" s="6">
        <x:f>IF(AND(ISNUMBER(F58),ISNUMBER(J58)),F58*J58,"")</x:f>
      </x:c>
      <x:c r="L58" s="5" t="inlineStr">
        <x:is>
          <x:t xml:space="preserve"/>
        </x:is>
      </x:c>
    </x:row>
    <x:row r="59" ht="42" customHeight="1">
      <x:c r="A59" s="5" t="inlineStr">
        <x:is>
          <x:t xml:space="preserve">Boundary</x:t>
        </x:is>
      </x:c>
      <x:c r="B59" s="5" t="inlineStr">
        <x:is>
          <x:t xml:space="preserve">Head 2 (Clean Gravity Handoff)</x:t>
        </x:is>
      </x:c>
      <x:c r="C59" s="5" t="inlineStr">
        <x:is>
          <x:t xml:space="preserve">Boundary Hardware</x:t>
        </x:is>
      </x:c>
      <x:c r="D59" s="5" t="inlineStr">
        <x:is>
          <x:t xml:space="preserve">Overflow + vent</x:t>
        </x:is>
      </x:c>
      <x:c r="E59" s="5" t="inlineStr">
        <x:is>
          <x:t xml:space="preserve">Safe overflow to Head 3 or discharge</x:t>
        </x:is>
      </x:c>
      <x:c r="F59" s="10" t="inlineStr">
        <x:is>
          <x:t xml:space="preserve"/>
        </x:is>
      </x:c>
      <x:c r="G59" s="10" t="inlineStr">
        <x:is>
          <x:t xml:space="preserve"/>
        </x:is>
      </x:c>
      <x:c r="H59" s="5" t="inlineStr">
        <x:is>
          <x:t xml:space="preserve">Plumbing</x:t>
        </x:is>
      </x:c>
      <x:c r="I59" s="10" t="inlineStr">
        <x:is>
          <x:t xml:space="preserve">MV</x:t>
        </x:is>
      </x:c>
      <x:c r="J59" s="11" t="inlineStr">
        <x:is>
          <x:t xml:space="preserve"/>
        </x:is>
      </x:c>
      <x:c r="K59" s="6">
        <x:f>IF(AND(ISNUMBER(F59),ISNUMBER(J59)),F59*J59,"")</x:f>
      </x:c>
      <x:c r="L59" s="5" t="inlineStr">
        <x:is>
          <x:t xml:space="preserve"/>
        </x:is>
      </x:c>
    </x:row>
    <x:row r="60" ht="42" customHeight="1">
      <x:c r="A60" s="5" t="inlineStr">
        <x:is>
          <x:t xml:space="preserve">Boundary</x:t>
        </x:is>
      </x:c>
      <x:c r="B60" s="5" t="inlineStr">
        <x:is>
          <x:t xml:space="preserve">Head 2 (Clean Gravity Handoff)</x:t>
        </x:is>
      </x:c>
      <x:c r="C60" s="5" t="inlineStr">
        <x:is>
          <x:t xml:space="preserve">Boundary Hardware</x:t>
        </x:is>
      </x:c>
      <x:c r="D60" s="5" t="inlineStr">
        <x:is>
          <x:t xml:space="preserve">Isolation valves + labels</x:t>
        </x:is>
      </x:c>
      <x:c r="E60" s="5" t="inlineStr">
        <x:is>
          <x:t xml:space="preserve">‘Clean ends here’ labeling</x:t>
        </x:is>
      </x:c>
      <x:c r="F60" s="10" t="inlineStr">
        <x:is>
          <x:t xml:space="preserve"/>
        </x:is>
      </x:c>
      <x:c r="G60" s="10" t="inlineStr">
        <x:is>
          <x:t xml:space="preserve"/>
        </x:is>
      </x:c>
      <x:c r="H60" s="5" t="inlineStr">
        <x:is>
          <x:t xml:space="preserve">Plumbing</x:t>
        </x:is>
      </x:c>
      <x:c r="I60" s="10" t="inlineStr">
        <x:is>
          <x:t xml:space="preserve">MV</x:t>
        </x:is>
      </x:c>
      <x:c r="J60" s="11" t="inlineStr">
        <x:is>
          <x:t xml:space="preserve"/>
        </x:is>
      </x:c>
      <x:c r="K60" s="6">
        <x:f>IF(AND(ISNUMBER(F60),ISNUMBER(J60)),F60*J60,"")</x:f>
      </x:c>
      <x:c r="L60" s="5" t="inlineStr">
        <x:is>
          <x:t xml:space="preserve"/>
        </x:is>
      </x:c>
    </x:row>
    <x:row r="61" ht="42" customHeight="1">
      <x:c r="A61" s="5" t="inlineStr">
        <x:is>
          <x:t xml:space="preserve">Recovery &amp; Biology</x:t>
        </x:is>
      </x:c>
      <x:c r="B61" s="5" t="inlineStr">
        <x:is>
          <x:t xml:space="preserve">Science Unit (Fungi Prep)</x:t>
        </x:is>
      </x:c>
      <x:c r="C61" s="5" t="inlineStr">
        <x:is>
          <x:t xml:space="preserve">Process &amp; Utilities</x:t>
        </x:is>
      </x:c>
      <x:c r="D61" s="5" t="inlineStr">
        <x:is>
          <x:t xml:space="preserve">Steam kettle (with safety valve)</x:t>
        </x:is>
      </x:c>
      <x:c r="E61" s="5" t="inlineStr">
        <x:is>
          <x:t xml:space="preserve">Substrate processing</x:t>
        </x:is>
      </x:c>
      <x:c r="F61" s="12" t="n">
        <x:v>1</x:v>
      </x:c>
      <x:c r="G61" s="10" t="inlineStr">
        <x:is>
          <x:t xml:space="preserve">ea</x:t>
        </x:is>
      </x:c>
      <x:c r="H61" s="5" t="inlineStr">
        <x:is>
          <x:t xml:space="preserve">Electrical</x:t>
        </x:is>
      </x:c>
      <x:c r="I61" s="10" t="inlineStr">
        <x:is>
          <x:t xml:space="preserve">MV</x:t>
        </x:is>
      </x:c>
      <x:c r="J61" s="11" t="inlineStr">
        <x:is>
          <x:t xml:space="preserve"/>
        </x:is>
      </x:c>
      <x:c r="K61" s="6">
        <x:f>IF(AND(ISNUMBER(F61),ISNUMBER(J61)),F61*J61,"")</x:f>
      </x:c>
      <x:c r="L61" s="5" t="inlineStr">
        <x:is>
          <x:t xml:space="preserve"/>
        </x:is>
      </x:c>
    </x:row>
    <x:row r="62" ht="42" customHeight="1">
      <x:c r="A62" s="5" t="inlineStr">
        <x:is>
          <x:t xml:space="preserve">Recovery &amp; Biology</x:t>
        </x:is>
      </x:c>
      <x:c r="B62" s="5" t="inlineStr">
        <x:is>
          <x:t xml:space="preserve">Science Unit (Fungi Prep)</x:t>
        </x:is>
      </x:c>
      <x:c r="C62" s="5" t="inlineStr">
        <x:is>
          <x:t xml:space="preserve">Process &amp; Utilities</x:t>
        </x:is>
      </x:c>
      <x:c r="D62" s="5" t="inlineStr">
        <x:is>
          <x:t xml:space="preserve">Auger for substrate transfer</x:t>
        </x:is>
      </x:c>
      <x:c r="E62" s="5" t="inlineStr">
        <x:is>
          <x:t xml:space="preserve">Material handling</x:t>
        </x:is>
      </x:c>
      <x:c r="F62" s="12" t="n">
        <x:v>1</x:v>
      </x:c>
      <x:c r="G62" s="10" t="inlineStr">
        <x:is>
          <x:t xml:space="preserve">ea</x:t>
        </x:is>
      </x:c>
      <x:c r="H62" s="5" t="inlineStr">
        <x:is>
          <x:t xml:space="preserve">Electrical</x:t>
        </x:is>
      </x:c>
      <x:c r="I62" s="10" t="inlineStr">
        <x:is>
          <x:t xml:space="preserve">MV</x:t>
        </x:is>
      </x:c>
      <x:c r="J62" s="11" t="inlineStr">
        <x:is>
          <x:t xml:space="preserve"/>
        </x:is>
      </x:c>
      <x:c r="K62" s="6">
        <x:f>IF(AND(ISNUMBER(F62),ISNUMBER(J62)),F62*J62,"")</x:f>
      </x:c>
      <x:c r="L62" s="5" t="inlineStr">
        <x:is>
          <x:t xml:space="preserve"/>
        </x:is>
      </x:c>
    </x:row>
    <x:row r="63" ht="42" customHeight="1">
      <x:c r="A63" s="5" t="inlineStr">
        <x:is>
          <x:t xml:space="preserve">Recovery &amp; Biology</x:t>
        </x:is>
      </x:c>
      <x:c r="B63" s="5" t="inlineStr">
        <x:is>
          <x:t xml:space="preserve">Science Unit (Fungi Prep)</x:t>
        </x:is>
      </x:c>
      <x:c r="C63" s="5" t="inlineStr">
        <x:is>
          <x:t xml:space="preserve">Process &amp; Utilities</x:t>
        </x:is>
      </x:c>
      <x:c r="D63" s="5" t="inlineStr">
        <x:is>
          <x:t xml:space="preserve">Food-grade buckets (7 gal)</x:t>
        </x:is>
      </x:c>
      <x:c r="E63" s="5" t="inlineStr">
        <x:is>
          <x:t xml:space="preserve">Reusable; label-ready</x:t>
        </x:is>
      </x:c>
      <x:c r="F63" s="12" t="n">
        <x:v>1</x:v>
      </x:c>
      <x:c r="G63" s="10" t="inlineStr">
        <x:is>
          <x:t xml:space="preserve">lot</x:t>
        </x:is>
      </x:c>
      <x:c r="H63" s="5" t="inlineStr">
        <x:is>
          <x:t xml:space="preserve">Food-safety</x:t>
        </x:is>
      </x:c>
      <x:c r="I63" s="10" t="inlineStr">
        <x:is>
          <x:t xml:space="preserve">MV</x:t>
        </x:is>
      </x:c>
      <x:c r="J63" s="11" t="inlineStr">
        <x:is>
          <x:t xml:space="preserve"/>
        </x:is>
      </x:c>
      <x:c r="K63" s="6">
        <x:f>IF(AND(ISNUMBER(F63),ISNUMBER(J63)),F63*J63,"")</x:f>
      </x:c>
      <x:c r="L63" s="5" t="inlineStr">
        <x:is>
          <x:t xml:space="preserve"/>
        </x:is>
      </x:c>
    </x:row>
    <x:row r="64" ht="42" customHeight="1">
      <x:c r="A64" s="5" t="inlineStr">
        <x:is>
          <x:t xml:space="preserve">Recovery &amp; Biology</x:t>
        </x:is>
      </x:c>
      <x:c r="B64" s="5" t="inlineStr">
        <x:is>
          <x:t xml:space="preserve">Science Unit (Fungi Prep)</x:t>
        </x:is>
      </x:c>
      <x:c r="C64" s="5" t="inlineStr">
        <x:is>
          <x:t xml:space="preserve">Process &amp; Utilities</x:t>
        </x:is>
      </x:c>
      <x:c r="D64" s="5" t="inlineStr">
        <x:is>
          <x:t xml:space="preserve">Inoculation bench / sterile hood</x:t>
        </x:is>
      </x:c>
      <x:c r="E64" s="5" t="inlineStr">
        <x:is>
          <x:t xml:space="preserve">HEPA / clean workspace</x:t>
        </x:is>
      </x:c>
      <x:c r="F64" s="12" t="n">
        <x:v>1</x:v>
      </x:c>
      <x:c r="G64" s="10" t="inlineStr">
        <x:is>
          <x:t xml:space="preserve">ea</x:t>
        </x:is>
      </x:c>
      <x:c r="H64" s="5" t="inlineStr">
        <x:is>
          <x:t xml:space="preserve">Structural</x:t>
        </x:is>
      </x:c>
      <x:c r="I64" s="10" t="inlineStr">
        <x:is>
          <x:t xml:space="preserve">MV</x:t>
        </x:is>
      </x:c>
      <x:c r="J64" s="11" t="inlineStr">
        <x:is>
          <x:t xml:space="preserve"/>
        </x:is>
      </x:c>
      <x:c r="K64" s="6">
        <x:f>IF(AND(ISNUMBER(F64),ISNUMBER(J64)),F64*J64,"")</x:f>
      </x:c>
      <x:c r="L64" s="5" t="inlineStr">
        <x:is>
          <x:t xml:space="preserve"/>
        </x:is>
      </x:c>
    </x:row>
    <x:row r="65" ht="42" customHeight="1">
      <x:c r="A65" s="5" t="inlineStr">
        <x:is>
          <x:t xml:space="preserve">Recovery &amp; Biology</x:t>
        </x:is>
      </x:c>
      <x:c r="B65" s="5" t="inlineStr">
        <x:is>
          <x:t xml:space="preserve">Science Unit (Fungi Prep)</x:t>
        </x:is>
      </x:c>
      <x:c r="C65" s="5" t="inlineStr">
        <x:is>
          <x:t xml:space="preserve">Process &amp; Utilities</x:t>
        </x:is>
      </x:c>
      <x:c r="D65" s="5" t="inlineStr">
        <x:is>
          <x:t xml:space="preserve">Culture fridge</x:t>
        </x:is>
      </x:c>
      <x:c r="E65" s="5" t="inlineStr">
        <x:is>
          <x:t xml:space="preserve">Culture storage</x:t>
        </x:is>
      </x:c>
      <x:c r="F65" s="12" t="n">
        <x:v>1</x:v>
      </x:c>
      <x:c r="G65" s="10" t="inlineStr">
        <x:is>
          <x:t xml:space="preserve">ea</x:t>
        </x:is>
      </x:c>
      <x:c r="H65" s="5" t="inlineStr">
        <x:is>
          <x:t xml:space="preserve">Electrical</x:t>
        </x:is>
      </x:c>
      <x:c r="I65" s="10" t="inlineStr">
        <x:is>
          <x:t xml:space="preserve">MV</x:t>
        </x:is>
      </x:c>
      <x:c r="J65" s="11" t="inlineStr">
        <x:is>
          <x:t xml:space="preserve"/>
        </x:is>
      </x:c>
      <x:c r="K65" s="6">
        <x:f>IF(AND(ISNUMBER(F65),ISNUMBER(J65)),F65*J65,"")</x:f>
      </x:c>
      <x:c r="L65" s="5" t="inlineStr">
        <x:is>
          <x:t xml:space="preserve"/>
        </x:is>
      </x:c>
    </x:row>
    <x:row r="66" ht="42" customHeight="1">
      <x:c r="A66" s="5" t="inlineStr">
        <x:is>
          <x:t xml:space="preserve">Recovery &amp; Biology</x:t>
        </x:is>
      </x:c>
      <x:c r="B66" s="5" t="inlineStr">
        <x:is>
          <x:t xml:space="preserve">Science Unit (Fungi Prep)</x:t>
        </x:is>
      </x:c>
      <x:c r="C66" s="5" t="inlineStr">
        <x:is>
          <x:t xml:space="preserve">Process &amp; Utilities</x:t>
        </x:is>
      </x:c>
      <x:c r="D66" s="5" t="inlineStr">
        <x:is>
          <x:t xml:space="preserve">Cooling racks / staging</x:t>
        </x:is>
      </x:c>
      <x:c r="E66" s="5" t="inlineStr">
        <x:is>
          <x:t xml:space="preserve">Bucket cool-down</x:t>
        </x:is>
      </x:c>
      <x:c r="F66" s="12" t="n">
        <x:v>1</x:v>
      </x:c>
      <x:c r="G66" s="10" t="inlineStr">
        <x:is>
          <x:t xml:space="preserve">set</x:t>
        </x:is>
      </x:c>
      <x:c r="H66" s="5" t="inlineStr">
        <x:is>
          <x:t xml:space="preserve">Structural</x:t>
        </x:is>
      </x:c>
      <x:c r="I66" s="10" t="inlineStr">
        <x:is>
          <x:t xml:space="preserve">MV</x:t>
        </x:is>
      </x:c>
      <x:c r="J66" s="11" t="inlineStr">
        <x:is>
          <x:t xml:space="preserve"/>
        </x:is>
      </x:c>
      <x:c r="K66" s="6">
        <x:f>IF(AND(ISNUMBER(F66),ISNUMBER(J66)),F66*J66,"")</x:f>
      </x:c>
      <x:c r="L66" s="5" t="inlineStr">
        <x:is>
          <x:t xml:space="preserve"/>
        </x:is>
      </x:c>
    </x:row>
    <x:row r="67" ht="42" customHeight="1">
      <x:c r="A67" s="5" t="inlineStr">
        <x:is>
          <x:t xml:space="preserve">Recovery &amp; Biology</x:t>
        </x:is>
      </x:c>
      <x:c r="B67" s="5" t="inlineStr">
        <x:is>
          <x:t xml:space="preserve">Science Unit (Fungi Prep)</x:t>
        </x:is>
      </x:c>
      <x:c r="C67" s="5" t="inlineStr">
        <x:is>
          <x:t xml:space="preserve">Process &amp; Utilities</x:t>
        </x:is>
      </x:c>
      <x:c r="D67" s="5" t="inlineStr">
        <x:is>
          <x:t xml:space="preserve">QR label + scanner setup</x:t>
        </x:is>
      </x:c>
      <x:c r="E67" s="5" t="inlineStr">
        <x:is>
          <x:t xml:space="preserve">Batch tracking</x:t>
        </x:is>
      </x:c>
      <x:c r="F67" s="12" t="n">
        <x:v>1</x:v>
      </x:c>
      <x:c r="G67" s="10" t="inlineStr">
        <x:is>
          <x:t xml:space="preserve">set</x:t>
        </x:is>
      </x:c>
      <x:c r="H67" s="5" t="inlineStr">
        <x:is>
          <x:t xml:space="preserve">Controls/Electrical</x:t>
        </x:is>
      </x:c>
      <x:c r="I67" s="10" t="inlineStr">
        <x:is>
          <x:t xml:space="preserve">MV</x:t>
        </x:is>
      </x:c>
      <x:c r="J67" s="11" t="inlineStr">
        <x:is>
          <x:t xml:space="preserve"/>
        </x:is>
      </x:c>
      <x:c r="K67" s="6">
        <x:f>IF(AND(ISNUMBER(F67),ISNUMBER(J67)),F67*J67,"")</x:f>
      </x:c>
      <x:c r="L67" s="5" t="inlineStr">
        <x:is>
          <x:t xml:space="preserve"/>
        </x:is>
      </x:c>
    </x:row>
    <x:row r="68" ht="42" customHeight="1">
      <x:c r="A68" s="5" t="inlineStr">
        <x:is>
          <x:t xml:space="preserve">Recovery &amp; Biology</x:t>
        </x:is>
      </x:c>
      <x:c r="B68" s="5" t="inlineStr">
        <x:is>
          <x:t xml:space="preserve">Science Unit (Fungi Prep)</x:t>
        </x:is>
      </x:c>
      <x:c r="C68" s="5" t="inlineStr">
        <x:is>
          <x:t xml:space="preserve">Process &amp; Utilities</x:t>
        </x:is>
      </x:c>
      <x:c r="D68" s="5" t="inlineStr">
        <x:is>
          <x:t xml:space="preserve">Dirty-side water branch + valve</x:t>
        </x:is>
      </x:c>
      <x:c r="E68" s="5" t="inlineStr">
        <x:is>
          <x:t xml:space="preserve">From Head 3; gravity preferred</x:t>
        </x:is>
      </x:c>
      <x:c r="F68" s="12" t="n">
        <x:v>1</x:v>
      </x:c>
      <x:c r="G68" s="10" t="inlineStr">
        <x:is>
          <x:t xml:space="preserve">set</x:t>
        </x:is>
      </x:c>
      <x:c r="H68" s="5" t="inlineStr">
        <x:is>
          <x:t xml:space="preserve">Plumbing</x:t>
        </x:is>
      </x:c>
      <x:c r="I68" s="10" t="inlineStr">
        <x:is>
          <x:t xml:space="preserve">MV</x:t>
        </x:is>
      </x:c>
      <x:c r="J68" s="11" t="inlineStr">
        <x:is>
          <x:t xml:space="preserve"/>
        </x:is>
      </x:c>
      <x:c r="K68" s="6">
        <x:f>IF(AND(ISNUMBER(F68),ISNUMBER(J68)),F68*J68,"")</x:f>
      </x:c>
      <x:c r="L68" s="5" t="inlineStr">
        <x:is>
          <x:t xml:space="preserve"/>
        </x:is>
      </x:c>
    </x:row>
    <x:row r="69" ht="42" customHeight="1">
      <x:c r="A69" s="5" t="inlineStr">
        <x:is>
          <x:t xml:space="preserve">Recovery &amp; Biology</x:t>
        </x:is>
      </x:c>
      <x:c r="B69" s="5" t="inlineStr">
        <x:is>
          <x:t xml:space="preserve">Science Unit (Fungi Prep)</x:t>
        </x:is>
      </x:c>
      <x:c r="C69" s="5" t="inlineStr">
        <x:is>
          <x:t xml:space="preserve">Process &amp; Utilities</x:t>
        </x:is>
      </x:c>
      <x:c r="D69" s="5" t="inlineStr">
        <x:is>
          <x:t xml:space="preserve">Subpanel + meter (kWh, peak amps)</x:t>
        </x:is>
      </x:c>
      <x:c r="E69" s="5" t="inlineStr">
        <x:is>
          <x:t xml:space="preserve">Load-day management</x:t>
        </x:is>
      </x:c>
      <x:c r="F69" s="12" t="n">
        <x:v>1</x:v>
      </x:c>
      <x:c r="G69" s="10" t="inlineStr">
        <x:is>
          <x:t xml:space="preserve">set</x:t>
        </x:is>
      </x:c>
      <x:c r="H69" s="5" t="inlineStr">
        <x:is>
          <x:t xml:space="preserve">Electrical</x:t>
        </x:is>
      </x:c>
      <x:c r="I69" s="10" t="inlineStr">
        <x:is>
          <x:t xml:space="preserve">MV</x:t>
        </x:is>
      </x:c>
      <x:c r="J69" s="11" t="inlineStr">
        <x:is>
          <x:t xml:space="preserve"/>
        </x:is>
      </x:c>
      <x:c r="K69" s="6">
        <x:f>IF(AND(ISNUMBER(F69),ISNUMBER(J69)),F69*J69,"")</x:f>
      </x:c>
      <x:c r="L69" s="5" t="inlineStr">
        <x:is>
          <x:t xml:space="preserve"/>
        </x:is>
      </x:c>
    </x:row>
    <x:row r="70" ht="42" customHeight="1">
      <x:c r="A70" s="5" t="inlineStr">
        <x:is>
          <x:t xml:space="preserve">Recovery &amp; Biology</x:t>
        </x:is>
      </x:c>
      <x:c r="B70" s="5" t="inlineStr">
        <x:is>
          <x:t xml:space="preserve">Fruiting Module</x:t>
        </x:is>
      </x:c>
      <x:c r="C70" s="5" t="inlineStr">
        <x:is>
          <x:t xml:space="preserve">Fruiting Environment</x:t>
        </x:is>
      </x:c>
      <x:c r="D70" s="5" t="inlineStr">
        <x:is>
          <x:t xml:space="preserve">Multi-tier bucket racks</x:t>
        </x:is>
      </x:c>
      <x:c r="E70" s="5" t="inlineStr">
        <x:is>
          <x:t xml:space="preserve">Fruiting racks</x:t>
        </x:is>
      </x:c>
      <x:c r="F70" s="12" t="n">
        <x:v>1</x:v>
      </x:c>
      <x:c r="G70" s="10" t="inlineStr">
        <x:is>
          <x:t xml:space="preserve">set</x:t>
        </x:is>
      </x:c>
      <x:c r="H70" s="5" t="inlineStr">
        <x:is>
          <x:t xml:space="preserve">Structural</x:t>
        </x:is>
      </x:c>
      <x:c r="I70" s="10" t="inlineStr">
        <x:is>
          <x:t xml:space="preserve">MV</x:t>
        </x:is>
      </x:c>
      <x:c r="J70" s="11" t="inlineStr">
        <x:is>
          <x:t xml:space="preserve"/>
        </x:is>
      </x:c>
      <x:c r="K70" s="6">
        <x:f>IF(AND(ISNUMBER(F70),ISNUMBER(J70)),F70*J70,"")</x:f>
      </x:c>
      <x:c r="L70" s="5" t="inlineStr">
        <x:is>
          <x:t xml:space="preserve"/>
        </x:is>
      </x:c>
    </x:row>
    <x:row r="71" ht="42" customHeight="1">
      <x:c r="A71" s="5" t="inlineStr">
        <x:is>
          <x:t xml:space="preserve">Recovery &amp; Biology</x:t>
        </x:is>
      </x:c>
      <x:c r="B71" s="5" t="inlineStr">
        <x:is>
          <x:t xml:space="preserve">Fruiting Module</x:t>
        </x:is>
      </x:c>
      <x:c r="C71" s="5" t="inlineStr">
        <x:is>
          <x:t xml:space="preserve">Fruiting Environment</x:t>
        </x:is>
      </x:c>
      <x:c r="D71" s="5" t="inlineStr">
        <x:is>
          <x:t xml:space="preserve">Vent fans / passive vents</x:t>
        </x:is>
      </x:c>
      <x:c r="E71" s="5" t="inlineStr">
        <x:is>
          <x:t xml:space="preserve">Air exchange</x:t>
        </x:is>
      </x:c>
      <x:c r="F71" s="12" t="n">
        <x:v>1</x:v>
      </x:c>
      <x:c r="G71" s="10" t="inlineStr">
        <x:is>
          <x:t xml:space="preserve">set</x:t>
        </x:is>
      </x:c>
      <x:c r="H71" s="5" t="inlineStr">
        <x:is>
          <x:t xml:space="preserve">HVAC</x:t>
        </x:is>
      </x:c>
      <x:c r="I71" s="10" t="inlineStr">
        <x:is>
          <x:t xml:space="preserve">MV</x:t>
        </x:is>
      </x:c>
      <x:c r="J71" s="11" t="inlineStr">
        <x:is>
          <x:t xml:space="preserve"/>
        </x:is>
      </x:c>
      <x:c r="K71" s="6">
        <x:f>IF(AND(ISNUMBER(F71),ISNUMBER(J71)),F71*J71,"")</x:f>
      </x:c>
      <x:c r="L71" s="5" t="inlineStr">
        <x:is>
          <x:t xml:space="preserve"/>
        </x:is>
      </x:c>
    </x:row>
    <x:row r="72" ht="42" customHeight="1">
      <x:c r="A72" s="5" t="inlineStr">
        <x:is>
          <x:t xml:space="preserve">Recovery &amp; Biology</x:t>
        </x:is>
      </x:c>
      <x:c r="B72" s="5" t="inlineStr">
        <x:is>
          <x:t xml:space="preserve">Fruiting Module</x:t>
        </x:is>
      </x:c>
      <x:c r="C72" s="5" t="inlineStr">
        <x:is>
          <x:t xml:space="preserve">Fruiting Environment</x:t>
        </x:is>
      </x:c>
      <x:c r="D72" s="5" t="inlineStr">
        <x:is>
          <x:t xml:space="preserve">Humidifier or mist system</x:t>
        </x:is>
      </x:c>
      <x:c r="E72" s="5" t="inlineStr">
        <x:is>
          <x:t xml:space="preserve">Maintain RH 80–95%</x:t>
        </x:is>
      </x:c>
      <x:c r="F72" s="12" t="n">
        <x:v>1</x:v>
      </x:c>
      <x:c r="G72" s="10" t="inlineStr">
        <x:is>
          <x:t xml:space="preserve">set</x:t>
        </x:is>
      </x:c>
      <x:c r="H72" s="5" t="inlineStr">
        <x:is>
          <x:t xml:space="preserve">Plumbing/Electrical</x:t>
        </x:is>
      </x:c>
      <x:c r="I72" s="10" t="inlineStr">
        <x:is>
          <x:t xml:space="preserve">MV</x:t>
        </x:is>
      </x:c>
      <x:c r="J72" s="11" t="inlineStr">
        <x:is>
          <x:t xml:space="preserve"/>
        </x:is>
      </x:c>
      <x:c r="K72" s="6">
        <x:f>IF(AND(ISNUMBER(F72),ISNUMBER(J72)),F72*J72,"")</x:f>
      </x:c>
      <x:c r="L72" s="5" t="inlineStr">
        <x:is>
          <x:t xml:space="preserve"/>
        </x:is>
      </x:c>
    </x:row>
    <x:row r="73" ht="42" customHeight="1">
      <x:c r="A73" s="5" t="inlineStr">
        <x:is>
          <x:t xml:space="preserve">Recovery &amp; Biology</x:t>
        </x:is>
      </x:c>
      <x:c r="B73" s="5" t="inlineStr">
        <x:is>
          <x:t xml:space="preserve">Fruiting Module</x:t>
        </x:is>
      </x:c>
      <x:c r="C73" s="5" t="inlineStr">
        <x:is>
          <x:t xml:space="preserve">Fruiting Environment</x:t>
        </x:is>
      </x:c>
      <x:c r="D73" s="5" t="inlineStr">
        <x:is>
          <x:t xml:space="preserve">Temp/RH data logger</x:t>
        </x:is>
      </x:c>
      <x:c r="E73" s="5" t="inlineStr">
        <x:is>
          <x:t xml:space="preserve">Monitoring</x:t>
        </x:is>
      </x:c>
      <x:c r="F73" s="12" t="n">
        <x:v>1</x:v>
      </x:c>
      <x:c r="G73" s="10" t="inlineStr">
        <x:is>
          <x:t xml:space="preserve">ea</x:t>
        </x:is>
      </x:c>
      <x:c r="H73" s="5" t="inlineStr">
        <x:is>
          <x:t xml:space="preserve">Controls/Electrical</x:t>
        </x:is>
      </x:c>
      <x:c r="I73" s="10" t="inlineStr">
        <x:is>
          <x:t xml:space="preserve">MV</x:t>
        </x:is>
      </x:c>
      <x:c r="J73" s="11" t="inlineStr">
        <x:is>
          <x:t xml:space="preserve"/>
        </x:is>
      </x:c>
      <x:c r="K73" s="6">
        <x:f>IF(AND(ISNUMBER(F73),ISNUMBER(J73)),F73*J73,"")</x:f>
      </x:c>
      <x:c r="L73" s="5" t="inlineStr">
        <x:is>
          <x:t xml:space="preserve"/>
        </x:is>
      </x:c>
    </x:row>
    <x:row r="74" ht="42" customHeight="1">
      <x:c r="A74" s="5" t="inlineStr">
        <x:is>
          <x:t xml:space="preserve">Recovery &amp; Biology</x:t>
        </x:is>
      </x:c>
      <x:c r="B74" s="5" t="inlineStr">
        <x:is>
          <x:t xml:space="preserve">Fruiting Module</x:t>
        </x:is>
      </x:c>
      <x:c r="C74" s="5" t="inlineStr">
        <x:is>
          <x:t xml:space="preserve">Fruiting Environment</x:t>
        </x:is>
      </x:c>
      <x:c r="D74" s="5" t="inlineStr">
        <x:is>
          <x:t xml:space="preserve">Floor drainage / sump grid</x:t>
        </x:is>
      </x:c>
      <x:c r="E74" s="5" t="inlineStr">
        <x:is>
          <x:t xml:space="preserve">Drain management</x:t>
        </x:is>
      </x:c>
      <x:c r="F74" s="12" t="n">
        <x:v>1</x:v>
      </x:c>
      <x:c r="G74" s="10" t="inlineStr">
        <x:is>
          <x:t xml:space="preserve">set</x:t>
        </x:is>
      </x:c>
      <x:c r="H74" s="5" t="inlineStr">
        <x:is>
          <x:t xml:space="preserve">Plumbing</x:t>
        </x:is>
      </x:c>
      <x:c r="I74" s="10" t="inlineStr">
        <x:is>
          <x:t xml:space="preserve">MV</x:t>
        </x:is>
      </x:c>
      <x:c r="J74" s="11" t="inlineStr">
        <x:is>
          <x:t xml:space="preserve"/>
        </x:is>
      </x:c>
      <x:c r="K74" s="6">
        <x:f>IF(AND(ISNUMBER(F74),ISNUMBER(J74)),F74*J74,"")</x:f>
      </x:c>
      <x:c r="L74" s="5" t="inlineStr">
        <x:is>
          <x:t xml:space="preserve"/>
        </x:is>
      </x:c>
    </x:row>
    <x:row r="75" ht="42" customHeight="1">
      <x:c r="A75" s="5" t="inlineStr">
        <x:is>
          <x:t xml:space="preserve">Recovery &amp; Biology</x:t>
        </x:is>
      </x:c>
      <x:c r="B75" s="5" t="inlineStr">
        <x:is>
          <x:t xml:space="preserve">Fruiting Module</x:t>
        </x:is>
      </x:c>
      <x:c r="C75" s="5" t="inlineStr">
        <x:is>
          <x:t xml:space="preserve">Fruiting Environment</x:t>
        </x:is>
      </x:c>
      <x:c r="D75" s="5" t="inlineStr">
        <x:is>
          <x:t xml:space="preserve">Optional lights (species-dependent)</x:t>
        </x:is>
      </x:c>
      <x:c r="E75" s="5" t="inlineStr">
        <x:is>
          <x:t xml:space="preserve">Low intensity</x:t>
        </x:is>
      </x:c>
      <x:c r="F75" s="12" t="n">
        <x:v>1</x:v>
      </x:c>
      <x:c r="G75" s="10" t="inlineStr">
        <x:is>
          <x:t xml:space="preserve">set</x:t>
        </x:is>
      </x:c>
      <x:c r="H75" s="5" t="inlineStr">
        <x:is>
          <x:t xml:space="preserve">Electrical</x:t>
        </x:is>
      </x:c>
      <x:c r="I75" s="10" t="inlineStr">
        <x:is>
          <x:t xml:space="preserve">MV</x:t>
        </x:is>
      </x:c>
      <x:c r="J75" s="11" t="inlineStr">
        <x:is>
          <x:t xml:space="preserve"/>
        </x:is>
      </x:c>
      <x:c r="K75" s="6">
        <x:f>IF(AND(ISNUMBER(F75),ISNUMBER(J75)),F75*J75,"")</x:f>
      </x:c>
      <x:c r="L75" s="5" t="inlineStr">
        <x:is>
          <x:t xml:space="preserve"/>
        </x:is>
      </x:c>
    </x:row>
    <x:row r="76" ht="42" customHeight="1">
      <x:c r="A76" s="5" t="inlineStr">
        <x:is>
          <x:t xml:space="preserve">Recovery &amp; Biology</x:t>
        </x:is>
      </x:c>
      <x:c r="B76" s="5" t="inlineStr">
        <x:is>
          <x:t xml:space="preserve">Fungi Harvest Module</x:t>
        </x:is>
      </x:c>
      <x:c r="C76" s="5" t="inlineStr">
        <x:is>
          <x:t xml:space="preserve">Stations</x:t>
        </x:is>
      </x:c>
      <x:c r="D76" s="5" t="inlineStr">
        <x:is>
          <x:t xml:space="preserve">Workbench / fold-out table</x:t>
        </x:is>
      </x:c>
      <x:c r="E76" s="5" t="inlineStr">
        <x:is>
          <x:t xml:space="preserve">Harvest station</x:t>
        </x:is>
      </x:c>
      <x:c r="F76" s="12" t="n">
        <x:v>1</x:v>
      </x:c>
      <x:c r="G76" s="10" t="inlineStr">
        <x:is>
          <x:t xml:space="preserve">ea</x:t>
        </x:is>
      </x:c>
      <x:c r="H76" s="5" t="inlineStr">
        <x:is>
          <x:t xml:space="preserve">Structural</x:t>
        </x:is>
      </x:c>
      <x:c r="I76" s="10" t="inlineStr">
        <x:is>
          <x:t xml:space="preserve">MV</x:t>
        </x:is>
      </x:c>
      <x:c r="J76" s="11" t="inlineStr">
        <x:is>
          <x:t xml:space="preserve"/>
        </x:is>
      </x:c>
      <x:c r="K76" s="6">
        <x:f>IF(AND(ISNUMBER(F76),ISNUMBER(J76)),F76*J76,"")</x:f>
      </x:c>
      <x:c r="L76" s="5" t="inlineStr">
        <x:is>
          <x:t xml:space="preserve"/>
        </x:is>
      </x:c>
    </x:row>
    <x:row r="77" ht="42" customHeight="1">
      <x:c r="A77" s="5" t="inlineStr">
        <x:is>
          <x:t xml:space="preserve">Recovery &amp; Biology</x:t>
        </x:is>
      </x:c>
      <x:c r="B77" s="5" t="inlineStr">
        <x:is>
          <x:t xml:space="preserve">Fungi Harvest Module</x:t>
        </x:is>
      </x:c>
      <x:c r="C77" s="5" t="inlineStr">
        <x:is>
          <x:t xml:space="preserve">Stations</x:t>
        </x:is>
      </x:c>
      <x:c r="D77" s="5" t="inlineStr">
        <x:is>
          <x:t xml:space="preserve">Scale</x:t>
        </x:is>
      </x:c>
      <x:c r="E77" s="5" t="inlineStr">
        <x:is>
          <x:t xml:space="preserve">Weigh product</x:t>
        </x:is>
      </x:c>
      <x:c r="F77" s="12" t="n">
        <x:v>1</x:v>
      </x:c>
      <x:c r="G77" s="10" t="inlineStr">
        <x:is>
          <x:t xml:space="preserve">ea</x:t>
        </x:is>
      </x:c>
      <x:c r="H77" s="5" t="inlineStr">
        <x:is>
          <x:t xml:space="preserve">Controls/Electrical</x:t>
        </x:is>
      </x:c>
      <x:c r="I77" s="10" t="inlineStr">
        <x:is>
          <x:t xml:space="preserve">MV</x:t>
        </x:is>
      </x:c>
      <x:c r="J77" s="11" t="inlineStr">
        <x:is>
          <x:t xml:space="preserve"/>
        </x:is>
      </x:c>
      <x:c r="K77" s="6">
        <x:f>IF(AND(ISNUMBER(F77),ISNUMBER(J77)),F77*J77,"")</x:f>
      </x:c>
      <x:c r="L77" s="5" t="inlineStr">
        <x:is>
          <x:t xml:space="preserve"/>
        </x:is>
      </x:c>
    </x:row>
    <x:row r="78" ht="42" customHeight="1">
      <x:c r="A78" s="5" t="inlineStr">
        <x:is>
          <x:t xml:space="preserve">Recovery &amp; Biology</x:t>
        </x:is>
      </x:c>
      <x:c r="B78" s="5" t="inlineStr">
        <x:is>
          <x:t xml:space="preserve">Fungi Harvest Module</x:t>
        </x:is>
      </x:c>
      <x:c r="C78" s="5" t="inlineStr">
        <x:is>
          <x:t xml:space="preserve">Stations</x:t>
        </x:is>
      </x:c>
      <x:c r="D78" s="5" t="inlineStr">
        <x:is>
          <x:t xml:space="preserve">QR scanner + tablet/log device</x:t>
        </x:is>
      </x:c>
      <x:c r="E78" s="5" t="inlineStr">
        <x:is>
          <x:t xml:space="preserve">Logging</x:t>
        </x:is>
      </x:c>
      <x:c r="F78" s="12" t="n">
        <x:v>1</x:v>
      </x:c>
      <x:c r="G78" s="10" t="inlineStr">
        <x:is>
          <x:t xml:space="preserve">set</x:t>
        </x:is>
      </x:c>
      <x:c r="H78" s="5" t="inlineStr">
        <x:is>
          <x:t xml:space="preserve">Controls/Electrical</x:t>
        </x:is>
      </x:c>
      <x:c r="I78" s="10" t="inlineStr">
        <x:is>
          <x:t xml:space="preserve">MV</x:t>
        </x:is>
      </x:c>
      <x:c r="J78" s="11" t="inlineStr">
        <x:is>
          <x:t xml:space="preserve"/>
        </x:is>
      </x:c>
      <x:c r="K78" s="6">
        <x:f>IF(AND(ISNUMBER(F78),ISNUMBER(J78)),F78*J78,"")</x:f>
      </x:c>
      <x:c r="L78" s="5" t="inlineStr">
        <x:is>
          <x:t xml:space="preserve"/>
        </x:is>
      </x:c>
    </x:row>
    <x:row r="79" ht="42" customHeight="1">
      <x:c r="A79" s="5" t="inlineStr">
        <x:is>
          <x:t xml:space="preserve">Recovery &amp; Biology</x:t>
        </x:is>
      </x:c>
      <x:c r="B79" s="5" t="inlineStr">
        <x:is>
          <x:t xml:space="preserve">Fungi Harvest Module</x:t>
        </x:is>
      </x:c>
      <x:c r="C79" s="5" t="inlineStr">
        <x:is>
          <x:t xml:space="preserve">Stations</x:t>
        </x:is>
      </x:c>
      <x:c r="D79" s="5" t="inlineStr">
        <x:is>
          <x:t xml:space="preserve">Task light</x:t>
        </x:is>
      </x:c>
      <x:c r="E79" s="5" t="inlineStr">
        <x:is>
          <x:t xml:space="preserve">Visibility</x:t>
        </x:is>
      </x:c>
      <x:c r="F79" s="12" t="n">
        <x:v>1</x:v>
      </x:c>
      <x:c r="G79" s="10" t="inlineStr">
        <x:is>
          <x:t xml:space="preserve">ea</x:t>
        </x:is>
      </x:c>
      <x:c r="H79" s="5" t="inlineStr">
        <x:is>
          <x:t xml:space="preserve">Electrical</x:t>
        </x:is>
      </x:c>
      <x:c r="I79" s="10" t="inlineStr">
        <x:is>
          <x:t xml:space="preserve">MV</x:t>
        </x:is>
      </x:c>
      <x:c r="J79" s="11" t="inlineStr">
        <x:is>
          <x:t xml:space="preserve"/>
        </x:is>
      </x:c>
      <x:c r="K79" s="6">
        <x:f>IF(AND(ISNUMBER(F79),ISNUMBER(J79)),F79*J79,"")</x:f>
      </x:c>
      <x:c r="L79" s="5" t="inlineStr">
        <x:is>
          <x:t xml:space="preserve"/>
        </x:is>
      </x:c>
    </x:row>
    <x:row r="80" ht="42" customHeight="1">
      <x:c r="A80" s="5" t="inlineStr">
        <x:is>
          <x:t xml:space="preserve">Recovery &amp; Biology</x:t>
        </x:is>
      </x:c>
      <x:c r="B80" s="5" t="inlineStr">
        <x:is>
          <x:t xml:space="preserve">Fungi Harvest Module</x:t>
        </x:is>
      </x:c>
      <x:c r="C80" s="5" t="inlineStr">
        <x:is>
          <x:t xml:space="preserve">Stations</x:t>
        </x:is>
      </x:c>
      <x:c r="D80" s="5" t="inlineStr">
        <x:is>
          <x:t xml:space="preserve">Sanitizer station</x:t>
        </x:is>
      </x:c>
      <x:c r="E80" s="5" t="inlineStr">
        <x:is>
          <x:t xml:space="preserve">Hygiene</x:t>
        </x:is>
      </x:c>
      <x:c r="F80" s="12" t="n">
        <x:v>1</x:v>
      </x:c>
      <x:c r="G80" s="10" t="inlineStr">
        <x:is>
          <x:t xml:space="preserve">ea</x:t>
        </x:is>
      </x:c>
      <x:c r="H80" s="5" t="inlineStr">
        <x:is>
          <x:t xml:space="preserve">Food-safety</x:t>
        </x:is>
      </x:c>
      <x:c r="I80" s="10" t="inlineStr">
        <x:is>
          <x:t xml:space="preserve">MV</x:t>
        </x:is>
      </x:c>
      <x:c r="J80" s="11" t="inlineStr">
        <x:is>
          <x:t xml:space="preserve"/>
        </x:is>
      </x:c>
      <x:c r="K80" s="6">
        <x:f>IF(AND(ISNUMBER(F80),ISNUMBER(J80)),F80*J80,"")</x:f>
      </x:c>
      <x:c r="L80" s="5" t="inlineStr">
        <x:is>
          <x:t xml:space="preserve"/>
        </x:is>
      </x:c>
    </x:row>
    <x:row r="81" ht="42" customHeight="1">
      <x:c r="A81" s="5" t="inlineStr">
        <x:is>
          <x:t xml:space="preserve">Recovery &amp; Biology</x:t>
        </x:is>
      </x:c>
      <x:c r="B81" s="5" t="inlineStr">
        <x:is>
          <x:t xml:space="preserve">Staging &amp; Return Module</x:t>
        </x:is>
      </x:c>
      <x:c r="C81" s="5" t="inlineStr">
        <x:is>
          <x:t xml:space="preserve">Workflow</x:t>
        </x:is>
      </x:c>
      <x:c r="D81" s="5" t="inlineStr">
        <x:is>
          <x:t xml:space="preserve">Bucket drying racks</x:t>
        </x:is>
      </x:c>
      <x:c r="E81" s="5" t="inlineStr">
        <x:is>
          <x:t xml:space="preserve">Dry-down &lt;48h target</x:t>
        </x:is>
      </x:c>
      <x:c r="F81" s="12" t="n">
        <x:v>1</x:v>
      </x:c>
      <x:c r="G81" s="10" t="inlineStr">
        <x:is>
          <x:t xml:space="preserve">set</x:t>
        </x:is>
      </x:c>
      <x:c r="H81" s="5" t="inlineStr">
        <x:is>
          <x:t xml:space="preserve">Structural</x:t>
        </x:is>
      </x:c>
      <x:c r="I81" s="10" t="inlineStr">
        <x:is>
          <x:t xml:space="preserve">MV</x:t>
        </x:is>
      </x:c>
      <x:c r="J81" s="11" t="inlineStr">
        <x:is>
          <x:t xml:space="preserve"/>
        </x:is>
      </x:c>
      <x:c r="K81" s="6">
        <x:f>IF(AND(ISNUMBER(F81),ISNUMBER(J81)),F81*J81,"")</x:f>
      </x:c>
      <x:c r="L81" s="5" t="inlineStr">
        <x:is>
          <x:t xml:space="preserve"/>
        </x:is>
      </x:c>
    </x:row>
    <x:row r="82" ht="42" customHeight="1">
      <x:c r="A82" s="5" t="inlineStr">
        <x:is>
          <x:t xml:space="preserve">Recovery &amp; Biology</x:t>
        </x:is>
      </x:c>
      <x:c r="B82" s="5" t="inlineStr">
        <x:is>
          <x:t xml:space="preserve">Staging &amp; Return Module</x:t>
        </x:is>
      </x:c>
      <x:c r="C82" s="5" t="inlineStr">
        <x:is>
          <x:t xml:space="preserve">Workflow</x:t>
        </x:is>
      </x:c>
      <x:c r="D82" s="5" t="inlineStr">
        <x:is>
          <x:t xml:space="preserve">Return sort zone signage</x:t>
        </x:is>
      </x:c>
      <x:c r="E82" s="5" t="inlineStr">
        <x:is>
          <x:t xml:space="preserve">Return vs compost</x:t>
        </x:is>
      </x:c>
      <x:c r="F82" s="12" t="n">
        <x:v>1</x:v>
      </x:c>
      <x:c r="G82" s="10" t="inlineStr">
        <x:is>
          <x:t xml:space="preserve">set</x:t>
        </x:is>
      </x:c>
      <x:c r="H82" s="5" t="inlineStr">
        <x:is>
          <x:t xml:space="preserve">Food-safety</x:t>
        </x:is>
      </x:c>
      <x:c r="I82" s="10" t="inlineStr">
        <x:is>
          <x:t xml:space="preserve">MV</x:t>
        </x:is>
      </x:c>
      <x:c r="J82" s="11" t="inlineStr">
        <x:is>
          <x:t xml:space="preserve"/>
        </x:is>
      </x:c>
      <x:c r="K82" s="6">
        <x:f>IF(AND(ISNUMBER(F82),ISNUMBER(J82)),F82*J82,"")</x:f>
      </x:c>
      <x:c r="L82" s="5" t="inlineStr">
        <x:is>
          <x:t xml:space="preserve"/>
        </x:is>
      </x:c>
    </x:row>
    <x:row r="83" ht="42" customHeight="1">
      <x:c r="A83" s="5" t="inlineStr">
        <x:is>
          <x:t xml:space="preserve">Recovery &amp; Biology</x:t>
        </x:is>
      </x:c>
      <x:c r="B83" s="5" t="inlineStr">
        <x:is>
          <x:t xml:space="preserve">Staging &amp; Return Module</x:t>
        </x:is>
      </x:c>
      <x:c r="C83" s="5" t="inlineStr">
        <x:is>
          <x:t xml:space="preserve">Workflow</x:t>
        </x:is>
      </x:c>
      <x:c r="D83" s="5" t="inlineStr">
        <x:is>
          <x:t xml:space="preserve">Passive fan (optional)</x:t>
        </x:is>
      </x:c>
      <x:c r="E83" s="5" t="inlineStr">
        <x:is>
          <x:t xml:space="preserve">Airflow assist</x:t>
        </x:is>
      </x:c>
      <x:c r="F83" s="12" t="n">
        <x:v>1</x:v>
      </x:c>
      <x:c r="G83" s="10" t="inlineStr">
        <x:is>
          <x:t xml:space="preserve">ea</x:t>
        </x:is>
      </x:c>
      <x:c r="H83" s="5" t="inlineStr">
        <x:is>
          <x:t xml:space="preserve">HVAC</x:t>
        </x:is>
      </x:c>
      <x:c r="I83" s="10" t="inlineStr">
        <x:is>
          <x:t xml:space="preserve">MV</x:t>
        </x:is>
      </x:c>
      <x:c r="J83" s="11" t="inlineStr">
        <x:is>
          <x:t xml:space="preserve"/>
        </x:is>
      </x:c>
      <x:c r="K83" s="6">
        <x:f>IF(AND(ISNUMBER(F83),ISNUMBER(J83)),F83*J83,"")</x:f>
      </x:c>
      <x:c r="L83" s="5" t="inlineStr">
        <x:is>
          <x:t xml:space="preserve"/>
        </x:is>
      </x:c>
    </x:row>
    <x:row r="84" ht="42" customHeight="1">
      <x:c r="A84" s="5" t="inlineStr">
        <x:is>
          <x:t xml:space="preserve">Recovery &amp; Biology</x:t>
        </x:is>
      </x:c>
      <x:c r="B84" s="5" t="inlineStr">
        <x:is>
          <x:t xml:space="preserve">Vermiculture Module</x:t>
        </x:is>
      </x:c>
      <x:c r="C84" s="5" t="inlineStr">
        <x:is>
          <x:t xml:space="preserve">Soil System</x:t>
        </x:is>
      </x:c>
      <x:c r="D84" s="5" t="inlineStr">
        <x:is>
          <x:t xml:space="preserve">Vermi bins (Stage 1–3)</x:t>
        </x:is>
      </x:c>
      <x:c r="E84" s="5" t="inlineStr">
        <x:is>
          <x:t xml:space="preserve">Progressive beds</x:t>
        </x:is>
      </x:c>
      <x:c r="F84" s="12" t="n">
        <x:v>3</x:v>
      </x:c>
      <x:c r="G84" s="10" t="inlineStr">
        <x:is>
          <x:t xml:space="preserve">ea</x:t>
        </x:is>
      </x:c>
      <x:c r="H84" s="5" t="inlineStr">
        <x:is>
          <x:t xml:space="preserve">Structural</x:t>
        </x:is>
      </x:c>
      <x:c r="I84" s="10" t="inlineStr">
        <x:is>
          <x:t xml:space="preserve">MV</x:t>
        </x:is>
      </x:c>
      <x:c r="J84" s="11" t="inlineStr">
        <x:is>
          <x:t xml:space="preserve"/>
        </x:is>
      </x:c>
      <x:c r="K84" s="6">
        <x:f>IF(AND(ISNUMBER(F84),ISNUMBER(J84)),F84*J84,"")</x:f>
      </x:c>
      <x:c r="L84" s="5" t="inlineStr">
        <x:is>
          <x:t xml:space="preserve"/>
        </x:is>
      </x:c>
    </x:row>
    <x:row r="85" ht="42" customHeight="1">
      <x:c r="A85" s="5" t="inlineStr">
        <x:is>
          <x:t xml:space="preserve">Recovery &amp; Biology</x:t>
        </x:is>
      </x:c>
      <x:c r="B85" s="5" t="inlineStr">
        <x:is>
          <x:t xml:space="preserve">Vermiculture Module</x:t>
        </x:is>
      </x:c>
      <x:c r="C85" s="5" t="inlineStr">
        <x:is>
          <x:t xml:space="preserve">Soil System</x:t>
        </x:is>
      </x:c>
      <x:c r="D85" s="5" t="inlineStr">
        <x:is>
          <x:t xml:space="preserve">External hopper + auger</x:t>
        </x:is>
      </x:c>
      <x:c r="E85" s="5" t="inlineStr">
        <x:is>
          <x:t xml:space="preserve">Bucket dump assist</x:t>
        </x:is>
      </x:c>
      <x:c r="F85" s="12" t="n">
        <x:v>1</x:v>
      </x:c>
      <x:c r="G85" s="10" t="inlineStr">
        <x:is>
          <x:t xml:space="preserve">set</x:t>
        </x:is>
      </x:c>
      <x:c r="H85" s="5" t="inlineStr">
        <x:is>
          <x:t xml:space="preserve">Electrical</x:t>
        </x:is>
      </x:c>
      <x:c r="I85" s="10" t="inlineStr">
        <x:is>
          <x:t xml:space="preserve">MV</x:t>
        </x:is>
      </x:c>
      <x:c r="J85" s="11" t="inlineStr">
        <x:is>
          <x:t xml:space="preserve"/>
        </x:is>
      </x:c>
      <x:c r="K85" s="6">
        <x:f>IF(AND(ISNUMBER(F85),ISNUMBER(J85)),F85*J85,"")</x:f>
      </x:c>
      <x:c r="L85" s="5" t="inlineStr">
        <x:is>
          <x:t xml:space="preserve"/>
        </x:is>
      </x:c>
    </x:row>
    <x:row r="86" ht="42" customHeight="1">
      <x:c r="A86" s="5" t="inlineStr">
        <x:is>
          <x:t xml:space="preserve">Recovery &amp; Biology</x:t>
        </x:is>
      </x:c>
      <x:c r="B86" s="5" t="inlineStr">
        <x:is>
          <x:t xml:space="preserve">Vermiculture Module</x:t>
        </x:is>
      </x:c>
      <x:c r="C86" s="5" t="inlineStr">
        <x:is>
          <x:t xml:space="preserve">Soil System</x:t>
        </x:is>
      </x:c>
      <x:c r="D86" s="5" t="inlineStr">
        <x:is>
          <x:t xml:space="preserve">Passive vent + fan</x:t>
        </x:is>
      </x:c>
      <x:c r="E86" s="5" t="inlineStr">
        <x:is>
          <x:t xml:space="preserve">Odor / airflow control</x:t>
        </x:is>
      </x:c>
      <x:c r="F86" s="12" t="n">
        <x:v>1</x:v>
      </x:c>
      <x:c r="G86" s="10" t="inlineStr">
        <x:is>
          <x:t xml:space="preserve">set</x:t>
        </x:is>
      </x:c>
      <x:c r="H86" s="5" t="inlineStr">
        <x:is>
          <x:t xml:space="preserve">HVAC</x:t>
        </x:is>
      </x:c>
      <x:c r="I86" s="10" t="inlineStr">
        <x:is>
          <x:t xml:space="preserve">MV</x:t>
        </x:is>
      </x:c>
      <x:c r="J86" s="11" t="inlineStr">
        <x:is>
          <x:t xml:space="preserve"/>
        </x:is>
      </x:c>
      <x:c r="K86" s="6">
        <x:f>IF(AND(ISNUMBER(F86),ISNUMBER(J86)),F86*J86,"")</x:f>
      </x:c>
      <x:c r="L86" s="5" t="inlineStr">
        <x:is>
          <x:t xml:space="preserve"/>
        </x:is>
      </x:c>
    </x:row>
    <x:row r="87" ht="42" customHeight="1">
      <x:c r="A87" s="5" t="inlineStr">
        <x:is>
          <x:t xml:space="preserve">Recovery &amp; Biology</x:t>
        </x:is>
      </x:c>
      <x:c r="B87" s="5" t="inlineStr">
        <x:is>
          <x:t xml:space="preserve">Vermiculture Module</x:t>
        </x:is>
      </x:c>
      <x:c r="C87" s="5" t="inlineStr">
        <x:is>
          <x:t xml:space="preserve">Soil System</x:t>
        </x:is>
      </x:c>
      <x:c r="D87" s="5" t="inlineStr">
        <x:is>
          <x:t xml:space="preserve">Optional leachate capture / drain</x:t>
        </x:is>
      </x:c>
      <x:c r="E87" s="5" t="inlineStr">
        <x:is>
          <x:t xml:space="preserve">Worm tea capture</x:t>
        </x:is>
      </x:c>
      <x:c r="F87" s="12" t="n">
        <x:v>1</x:v>
      </x:c>
      <x:c r="G87" s="10" t="inlineStr">
        <x:is>
          <x:t xml:space="preserve">set</x:t>
        </x:is>
      </x:c>
      <x:c r="H87" s="5" t="inlineStr">
        <x:is>
          <x:t xml:space="preserve">Plumbing</x:t>
        </x:is>
      </x:c>
      <x:c r="I87" s="10" t="inlineStr">
        <x:is>
          <x:t xml:space="preserve">MV</x:t>
        </x:is>
      </x:c>
      <x:c r="J87" s="11" t="inlineStr">
        <x:is>
          <x:t xml:space="preserve"/>
        </x:is>
      </x:c>
      <x:c r="K87" s="6">
        <x:f>IF(AND(ISNUMBER(F87),ISNUMBER(J87)),F87*J87,"")</x:f>
      </x:c>
      <x:c r="L87" s="5" t="inlineStr">
        <x:is>
          <x:t xml:space="preserve"/>
        </x:is>
      </x:c>
    </x:row>
    <x:row r="88" ht="42" customHeight="1">
      <x:c r="A88" s="5" t="inlineStr">
        <x:is>
          <x:t xml:space="preserve">Recovery &amp; Biology</x:t>
        </x:is>
      </x:c>
      <x:c r="B88" s="5" t="inlineStr">
        <x:is>
          <x:t xml:space="preserve">Vermiculture Module</x:t>
        </x:is>
      </x:c>
      <x:c r="C88" s="5" t="inlineStr">
        <x:is>
          <x:t xml:space="preserve">Soil System</x:t>
        </x:is>
      </x:c>
      <x:c r="D88" s="5" t="inlineStr">
        <x:is>
          <x:t xml:space="preserve">Bio separation signage</x:t>
        </x:is>
      </x:c>
      <x:c r="E88" s="5" t="inlineStr">
        <x:is>
          <x:t xml:space="preserve">Clean/dirty discipline</x:t>
        </x:is>
      </x:c>
      <x:c r="F88" s="12" t="n">
        <x:v>1</x:v>
      </x:c>
      <x:c r="G88" s="10" t="inlineStr">
        <x:is>
          <x:t xml:space="preserve">set</x:t>
        </x:is>
      </x:c>
      <x:c r="H88" s="5" t="inlineStr">
        <x:is>
          <x:t xml:space="preserve">Food-safety</x:t>
        </x:is>
      </x:c>
      <x:c r="I88" s="10" t="inlineStr">
        <x:is>
          <x:t xml:space="preserve">MV</x:t>
        </x:is>
      </x:c>
      <x:c r="J88" s="11" t="inlineStr">
        <x:is>
          <x:t xml:space="preserve"/>
        </x:is>
      </x:c>
      <x:c r="K88" s="6">
        <x:f>IF(AND(ISNUMBER(F88),ISNUMBER(J88)),F88*J88,"")</x:f>
      </x:c>
      <x:c r="L88" s="5" t="inlineStr">
        <x:is>
          <x:t xml:space="preserve"/>
        </x:is>
      </x:c>
    </x:row>
    <x:row r="89" ht="42" customHeight="1">
      <x:c r="A89" s="5" t="inlineStr">
        <x:is>
          <x:t xml:space="preserve">Recovery &amp; Biology</x:t>
        </x:is>
      </x:c>
      <x:c r="B89" s="5" t="inlineStr">
        <x:is>
          <x:t xml:space="preserve">Hydro Battery Module</x:t>
        </x:is>
      </x:c>
      <x:c r="C89" s="5" t="inlineStr">
        <x:is>
          <x:t xml:space="preserve">Energy Recovery</x:t>
        </x:is>
      </x:c>
      <x:c r="D89" s="5" t="inlineStr">
        <x:is>
          <x:t xml:space="preserve">Vertical module shell (container / vault)</x:t>
        </x:is>
      </x:c>
      <x:c r="E89" s="5" t="inlineStr">
        <x:is>
          <x:t xml:space="preserve">Access + structural enclosure for loops</x:t>
        </x:is>
      </x:c>
      <x:c r="F89" s="10" t="inlineStr">
        <x:is>
          <x:t xml:space="preserve"/>
        </x:is>
      </x:c>
      <x:c r="G89" s="10" t="inlineStr">
        <x:is>
          <x:t xml:space="preserve"/>
        </x:is>
      </x:c>
      <x:c r="H89" s="5" t="inlineStr">
        <x:is>
          <x:t xml:space="preserve">Structural</x:t>
        </x:is>
      </x:c>
      <x:c r="I89" s="10" t="inlineStr">
        <x:is>
          <x:t xml:space="preserve">Phase 2</x:t>
        </x:is>
      </x:c>
      <x:c r="J89" s="11" t="inlineStr">
        <x:is>
          <x:t xml:space="preserve"/>
        </x:is>
      </x:c>
      <x:c r="K89" s="6">
        <x:f>IF(AND(ISNUMBER(F89),ISNUMBER(J89)),F89*J89,"")</x:f>
      </x:c>
      <x:c r="L89" s="5" t="inlineStr">
        <x:is>
          <x:t xml:space="preserve"/>
        </x:is>
      </x:c>
    </x:row>
    <x:row r="90" ht="42" customHeight="1">
      <x:c r="A90" s="5" t="inlineStr">
        <x:is>
          <x:t xml:space="preserve">Recovery &amp; Biology</x:t>
        </x:is>
      </x:c>
      <x:c r="B90" s="5" t="inlineStr">
        <x:is>
          <x:t xml:space="preserve">Hydro Battery Module</x:t>
        </x:is>
      </x:c>
      <x:c r="C90" s="5" t="inlineStr">
        <x:is>
          <x:t xml:space="preserve">Energy Recovery</x:t>
        </x:is>
      </x:c>
      <x:c r="D90" s="5" t="inlineStr">
        <x:is>
          <x:t xml:space="preserve">DN200 primary piping</x:t>
        </x:is>
      </x:c>
      <x:c r="E90" s="5" t="inlineStr">
        <x:is>
          <x:t xml:space="preserve">Target velocity ≤1.5 m/s</x:t>
        </x:is>
      </x:c>
      <x:c r="F90" s="10" t="inlineStr">
        <x:is>
          <x:t xml:space="preserve"/>
        </x:is>
      </x:c>
      <x:c r="G90" s="10" t="inlineStr">
        <x:is>
          <x:t xml:space="preserve"/>
        </x:is>
      </x:c>
      <x:c r="H90" s="5" t="inlineStr">
        <x:is>
          <x:t xml:space="preserve">Plumbing</x:t>
        </x:is>
      </x:c>
      <x:c r="I90" s="10" t="inlineStr">
        <x:is>
          <x:t xml:space="preserve">Phase 2</x:t>
        </x:is>
      </x:c>
      <x:c r="J90" s="11" t="inlineStr">
        <x:is>
          <x:t xml:space="preserve"/>
        </x:is>
      </x:c>
      <x:c r="K90" s="6">
        <x:f>IF(AND(ISNUMBER(F90),ISNUMBER(J90)),F90*J90,"")</x:f>
      </x:c>
      <x:c r="L90" s="5" t="inlineStr">
        <x:is>
          <x:t xml:space="preserve"/>
        </x:is>
      </x:c>
    </x:row>
    <x:row r="91" ht="42" customHeight="1">
      <x:c r="A91" s="5" t="inlineStr">
        <x:is>
          <x:t xml:space="preserve">Recovery &amp; Biology</x:t>
        </x:is>
      </x:c>
      <x:c r="B91" s="5" t="inlineStr">
        <x:is>
          <x:t xml:space="preserve">Hydro Battery Module</x:t>
        </x:is>
      </x:c>
      <x:c r="C91" s="5" t="inlineStr">
        <x:is>
          <x:t xml:space="preserve">Energy Recovery</x:t>
        </x:is>
      </x:c>
      <x:c r="D91" s="5" t="inlineStr">
        <x:is>
          <x:t xml:space="preserve">Long-radius bends / sweep sections</x:t>
        </x:is>
      </x:c>
      <x:c r="E91" s="5" t="inlineStr">
        <x:is>
          <x:t xml:space="preserve">Minimize head loss</x:t>
        </x:is>
      </x:c>
      <x:c r="F91" s="10" t="inlineStr">
        <x:is>
          <x:t xml:space="preserve"/>
        </x:is>
      </x:c>
      <x:c r="G91" s="10" t="inlineStr">
        <x:is>
          <x:t xml:space="preserve"/>
        </x:is>
      </x:c>
      <x:c r="H91" s="5" t="inlineStr">
        <x:is>
          <x:t xml:space="preserve">Plumbing</x:t>
        </x:is>
      </x:c>
      <x:c r="I91" s="10" t="inlineStr">
        <x:is>
          <x:t xml:space="preserve">Phase 2</x:t>
        </x:is>
      </x:c>
      <x:c r="J91" s="11" t="inlineStr">
        <x:is>
          <x:t xml:space="preserve"/>
        </x:is>
      </x:c>
      <x:c r="K91" s="6">
        <x:f>IF(AND(ISNUMBER(F91),ISNUMBER(J91)),F91*J91,"")</x:f>
      </x:c>
      <x:c r="L91" s="5" t="inlineStr">
        <x:is>
          <x:t xml:space="preserve"/>
        </x:is>
      </x:c>
    </x:row>
    <x:row r="92" ht="42" customHeight="1">
      <x:c r="A92" s="5" t="inlineStr">
        <x:is>
          <x:t xml:space="preserve">Recovery &amp; Biology</x:t>
        </x:is>
      </x:c>
      <x:c r="B92" s="5" t="inlineStr">
        <x:is>
          <x:t xml:space="preserve">Hydro Battery Module</x:t>
        </x:is>
      </x:c>
      <x:c r="C92" s="5" t="inlineStr">
        <x:is>
          <x:t xml:space="preserve">Energy Recovery</x:t>
        </x:is>
      </x:c>
      <x:c r="D92" s="5" t="inlineStr">
        <x:is>
          <x:t xml:space="preserve">Staggered free-surface tanks (5–10 m³)</x:t>
        </x:is>
      </x:c>
      <x:c r="E92" s="5" t="inlineStr">
        <x:is>
          <x:t xml:space="preserve">Pressure reset points</x:t>
        </x:is>
      </x:c>
      <x:c r="F92" s="10" t="inlineStr">
        <x:is>
          <x:t xml:space="preserve"/>
        </x:is>
      </x:c>
      <x:c r="G92" s="10" t="inlineStr">
        <x:is>
          <x:t xml:space="preserve"/>
        </x:is>
      </x:c>
      <x:c r="H92" s="5" t="inlineStr">
        <x:is>
          <x:t xml:space="preserve">Plumbing</x:t>
        </x:is>
      </x:c>
      <x:c r="I92" s="10" t="inlineStr">
        <x:is>
          <x:t xml:space="preserve">Phase 2</x:t>
        </x:is>
      </x:c>
      <x:c r="J92" s="11" t="inlineStr">
        <x:is>
          <x:t xml:space="preserve"/>
        </x:is>
      </x:c>
      <x:c r="K92" s="6">
        <x:f>IF(AND(ISNUMBER(F92),ISNUMBER(J92)),F92*J92,"")</x:f>
      </x:c>
      <x:c r="L92" s="5" t="inlineStr">
        <x:is>
          <x:t xml:space="preserve"/>
        </x:is>
      </x:c>
    </x:row>
    <x:row r="93" ht="42" customHeight="1">
      <x:c r="A93" s="5" t="inlineStr">
        <x:is>
          <x:t xml:space="preserve">Recovery &amp; Biology</x:t>
        </x:is>
      </x:c>
      <x:c r="B93" s="5" t="inlineStr">
        <x:is>
          <x:t xml:space="preserve">Hydro Battery Module</x:t>
        </x:is>
      </x:c>
      <x:c r="C93" s="5" t="inlineStr">
        <x:is>
          <x:t xml:space="preserve">Energy Recovery</x:t>
        </x:is>
      </x:c>
      <x:c r="D93" s="5" t="inlineStr">
        <x:is>
          <x:t xml:space="preserve">Top reference bladder (1–3 m³)</x:t>
        </x:is>
      </x:c>
      <x:c r="E93" s="5" t="inlineStr">
        <x:is>
          <x:t xml:space="preserve">Sets reference head; decouples pump recharge</x:t>
        </x:is>
      </x:c>
      <x:c r="F93" s="10" t="inlineStr">
        <x:is>
          <x:t xml:space="preserve"/>
        </x:is>
      </x:c>
      <x:c r="G93" s="10" t="inlineStr">
        <x:is>
          <x:t xml:space="preserve"/>
        </x:is>
      </x:c>
      <x:c r="H93" s="5" t="inlineStr">
        <x:is>
          <x:t xml:space="preserve">Plumbing</x:t>
        </x:is>
      </x:c>
      <x:c r="I93" s="10" t="inlineStr">
        <x:is>
          <x:t xml:space="preserve">Phase 2</x:t>
        </x:is>
      </x:c>
      <x:c r="J93" s="11" t="inlineStr">
        <x:is>
          <x:t xml:space="preserve"/>
        </x:is>
      </x:c>
      <x:c r="K93" s="6">
        <x:f>IF(AND(ISNUMBER(F93),ISNUMBER(J93)),F93*J93,"")</x:f>
      </x:c>
      <x:c r="L93" s="5" t="inlineStr">
        <x:is>
          <x:t xml:space="preserve"/>
        </x:is>
      </x:c>
    </x:row>
    <x:row r="94" ht="42" customHeight="1">
      <x:c r="A94" s="5" t="inlineStr">
        <x:is>
          <x:t xml:space="preserve">Recovery &amp; Biology</x:t>
        </x:is>
      </x:c>
      <x:c r="B94" s="5" t="inlineStr">
        <x:is>
          <x:t xml:space="preserve">Hydro Battery Module</x:t>
        </x:is>
      </x:c>
      <x:c r="C94" s="5" t="inlineStr">
        <x:is>
          <x:t xml:space="preserve">Energy Recovery</x:t>
        </x:is>
      </x:c>
      <x:c r="D94" s="5" t="inlineStr">
        <x:is>
          <x:t xml:space="preserve">Micro-hydro turbine + generator</x:t>
        </x:is>
      </x:c>
      <x:c r="E94" s="5" t="inlineStr">
        <x:is>
          <x:t xml:space="preserve">Sized for average flow; bypass included</x:t>
        </x:is>
      </x:c>
      <x:c r="F94" s="10" t="inlineStr">
        <x:is>
          <x:t xml:space="preserve"/>
        </x:is>
      </x:c>
      <x:c r="G94" s="10" t="inlineStr">
        <x:is>
          <x:t xml:space="preserve"/>
        </x:is>
      </x:c>
      <x:c r="H94" s="5" t="inlineStr">
        <x:is>
          <x:t xml:space="preserve">Electrical</x:t>
        </x:is>
      </x:c>
      <x:c r="I94" s="10" t="inlineStr">
        <x:is>
          <x:t xml:space="preserve">Phase 2</x:t>
        </x:is>
      </x:c>
      <x:c r="J94" s="11" t="inlineStr">
        <x:is>
          <x:t xml:space="preserve"/>
        </x:is>
      </x:c>
      <x:c r="K94" s="6">
        <x:f>IF(AND(ISNUMBER(F94),ISNUMBER(J94)),F94*J94,"")</x:f>
      </x:c>
      <x:c r="L94" s="5" t="inlineStr">
        <x:is>
          <x:t xml:space="preserve"/>
        </x:is>
      </x:c>
    </x:row>
    <x:row r="95" ht="42" customHeight="1">
      <x:c r="A95" s="5" t="inlineStr">
        <x:is>
          <x:t xml:space="preserve">Recovery &amp; Biology</x:t>
        </x:is>
      </x:c>
      <x:c r="B95" s="5" t="inlineStr">
        <x:is>
          <x:t xml:space="preserve">Hydro Battery Module</x:t>
        </x:is>
      </x:c>
      <x:c r="C95" s="5" t="inlineStr">
        <x:is>
          <x:t xml:space="preserve">Energy Recovery</x:t>
        </x:is>
      </x:c>
      <x:c r="D95" s="5" t="inlineStr">
        <x:is>
          <x:t xml:space="preserve">Rectifier / charge controller</x:t>
        </x:is>
      </x:c>
      <x:c r="E95" s="5" t="inlineStr">
        <x:is>
          <x:t xml:space="preserve">DC bus to battery/inverter</x:t>
        </x:is>
      </x:c>
      <x:c r="F95" s="10" t="inlineStr">
        <x:is>
          <x:t xml:space="preserve"/>
        </x:is>
      </x:c>
      <x:c r="G95" s="10" t="inlineStr">
        <x:is>
          <x:t xml:space="preserve"/>
        </x:is>
      </x:c>
      <x:c r="H95" s="5" t="inlineStr">
        <x:is>
          <x:t xml:space="preserve">Electrical</x:t>
        </x:is>
      </x:c>
      <x:c r="I95" s="10" t="inlineStr">
        <x:is>
          <x:t xml:space="preserve">Phase 2</x:t>
        </x:is>
      </x:c>
      <x:c r="J95" s="11" t="inlineStr">
        <x:is>
          <x:t xml:space="preserve"/>
        </x:is>
      </x:c>
      <x:c r="K95" s="6">
        <x:f>IF(AND(ISNUMBER(F95),ISNUMBER(J95)),F95*J95,"")</x:f>
      </x:c>
      <x:c r="L95" s="5" t="inlineStr">
        <x:is>
          <x:t xml:space="preserve"/>
        </x:is>
      </x:c>
    </x:row>
    <x:row r="96" ht="42" customHeight="1">
      <x:c r="A96" s="5" t="inlineStr">
        <x:is>
          <x:t xml:space="preserve">Recovery &amp; Biology</x:t>
        </x:is>
      </x:c>
      <x:c r="B96" s="5" t="inlineStr">
        <x:is>
          <x:t xml:space="preserve">Hydro Battery Module</x:t>
        </x:is>
      </x:c>
      <x:c r="C96" s="5" t="inlineStr">
        <x:is>
          <x:t xml:space="preserve">Energy Recovery</x:t>
        </x:is>
      </x:c>
      <x:c r="D96" s="5" t="inlineStr">
        <x:is>
          <x:t xml:space="preserve">Flow meter + level sensors</x:t>
        </x:is>
      </x:c>
      <x:c r="E96" s="5" t="inlineStr">
        <x:is>
          <x:t xml:space="preserve">MRV + control</x:t>
        </x:is>
      </x:c>
      <x:c r="F96" s="10" t="inlineStr">
        <x:is>
          <x:t xml:space="preserve"/>
        </x:is>
      </x:c>
      <x:c r="G96" s="10" t="inlineStr">
        <x:is>
          <x:t xml:space="preserve"/>
        </x:is>
      </x:c>
      <x:c r="H96" s="5" t="inlineStr">
        <x:is>
          <x:t xml:space="preserve">Controls/Electrical</x:t>
        </x:is>
      </x:c>
      <x:c r="I96" s="10" t="inlineStr">
        <x:is>
          <x:t xml:space="preserve">Phase 2</x:t>
        </x:is>
      </x:c>
      <x:c r="J96" s="11" t="inlineStr">
        <x:is>
          <x:t xml:space="preserve"/>
        </x:is>
      </x:c>
      <x:c r="K96" s="6">
        <x:f>IF(AND(ISNUMBER(F96),ISNUMBER(J96)),F96*J96,"")</x:f>
      </x:c>
      <x:c r="L96" s="5" t="inlineStr">
        <x:is>
          <x:t xml:space="preserve"/>
        </x:is>
      </x:c>
    </x:row>
    <x:row r="97" ht="42" customHeight="1">
      <x:c r="A97" s="5" t="inlineStr">
        <x:is>
          <x:t xml:space="preserve">Dome</x:t>
        </x:is>
      </x:c>
      <x:c r="B97" s="5" t="inlineStr">
        <x:is>
          <x:t xml:space="preserve">Full Dome (Phase 2+)</x:t>
        </x:is>
      </x:c>
      <x:c r="C97" s="5" t="inlineStr">
        <x:is>
          <x:t xml:space="preserve">Irrigation &amp; Thermal</x:t>
        </x:is>
      </x:c>
      <x:c r="D97" s="5" t="inlineStr">
        <x:is>
          <x:t xml:space="preserve">Gravity-fed drip lines</x:t>
        </x:is>
      </x:c>
      <x:c r="E97" s="5" t="inlineStr">
        <x:is>
          <x:t xml:space="preserve">Primary irrigation delivery</x:t>
        </x:is>
      </x:c>
      <x:c r="F97" s="10" t="inlineStr">
        <x:is>
          <x:t xml:space="preserve"/>
        </x:is>
      </x:c>
      <x:c r="G97" s="10" t="inlineStr">
        <x:is>
          <x:t xml:space="preserve"/>
        </x:is>
      </x:c>
      <x:c r="H97" s="5" t="inlineStr">
        <x:is>
          <x:t xml:space="preserve">Plumbing</x:t>
        </x:is>
      </x:c>
      <x:c r="I97" s="10" t="inlineStr">
        <x:is>
          <x:t xml:space="preserve">Phase 2</x:t>
        </x:is>
      </x:c>
      <x:c r="J97" s="11" t="inlineStr">
        <x:is>
          <x:t xml:space="preserve"/>
        </x:is>
      </x:c>
      <x:c r="K97" s="6">
        <x:f>IF(AND(ISNUMBER(F97),ISNUMBER(J97)),F97*J97,"")</x:f>
      </x:c>
      <x:c r="L97" s="5" t="inlineStr">
        <x:is>
          <x:t xml:space="preserve"/>
        </x:is>
      </x:c>
    </x:row>
    <x:row r="98" ht="42" customHeight="1">
      <x:c r="A98" s="5" t="inlineStr">
        <x:is>
          <x:t xml:space="preserve">Dome</x:t>
        </x:is>
      </x:c>
      <x:c r="B98" s="5" t="inlineStr">
        <x:is>
          <x:t xml:space="preserve">Full Dome (Phase 2+)</x:t>
        </x:is>
      </x:c>
      <x:c r="C98" s="5" t="inlineStr">
        <x:is>
          <x:t xml:space="preserve">Irrigation &amp; Thermal</x:t>
        </x:is>
      </x:c>
      <x:c r="D98" s="5" t="inlineStr">
        <x:is>
          <x:t xml:space="preserve">Subsurface drip tubing</x:t>
        </x:is>
      </x:c>
      <x:c r="E98" s="5" t="inlineStr">
        <x:is>
          <x:t xml:space="preserve">Soil beds; reduces evaporation</x:t>
        </x:is>
      </x:c>
      <x:c r="F98" s="10" t="inlineStr">
        <x:is>
          <x:t xml:space="preserve"/>
        </x:is>
      </x:c>
      <x:c r="G98" s="10" t="inlineStr">
        <x:is>
          <x:t xml:space="preserve"/>
        </x:is>
      </x:c>
      <x:c r="H98" s="5" t="inlineStr">
        <x:is>
          <x:t xml:space="preserve">Plumbing</x:t>
        </x:is>
      </x:c>
      <x:c r="I98" s="10" t="inlineStr">
        <x:is>
          <x:t xml:space="preserve">Phase 2</x:t>
        </x:is>
      </x:c>
      <x:c r="J98" s="11" t="inlineStr">
        <x:is>
          <x:t xml:space="preserve"/>
        </x:is>
      </x:c>
      <x:c r="K98" s="6">
        <x:f>IF(AND(ISNUMBER(F98),ISNUMBER(J98)),F98*J98,"")</x:f>
      </x:c>
      <x:c r="L98" s="5" t="inlineStr">
        <x:is>
          <x:t xml:space="preserve"/>
        </x:is>
      </x:c>
    </x:row>
    <x:row r="99" ht="42" customHeight="1">
      <x:c r="A99" s="5" t="inlineStr">
        <x:is>
          <x:t xml:space="preserve">Dome</x:t>
        </x:is>
      </x:c>
      <x:c r="B99" s="5" t="inlineStr">
        <x:is>
          <x:t xml:space="preserve">Full Dome (Phase 2+)</x:t>
        </x:is>
      </x:c>
      <x:c r="C99" s="5" t="inlineStr">
        <x:is>
          <x:t xml:space="preserve">Irrigation &amp; Thermal</x:t>
        </x:is>
      </x:c>
      <x:c r="D99" s="5" t="inlineStr">
        <x:is>
          <x:t xml:space="preserve">Soil moisture probes (optional)</x:t>
        </x:is>
      </x:c>
      <x:c r="E99" s="5" t="inlineStr">
        <x:is>
          <x:t xml:space="preserve">Spot checks / logging</x:t>
        </x:is>
      </x:c>
      <x:c r="F99" s="10" t="inlineStr">
        <x:is>
          <x:t xml:space="preserve"/>
        </x:is>
      </x:c>
      <x:c r="G99" s="10" t="inlineStr">
        <x:is>
          <x:t xml:space="preserve"/>
        </x:is>
      </x:c>
      <x:c r="H99" s="5" t="inlineStr">
        <x:is>
          <x:t xml:space="preserve">Controls/Electrical</x:t>
        </x:is>
      </x:c>
      <x:c r="I99" s="10" t="inlineStr">
        <x:is>
          <x:t xml:space="preserve">Phase 2</x:t>
        </x:is>
      </x:c>
      <x:c r="J99" s="11" t="inlineStr">
        <x:is>
          <x:t xml:space="preserve"/>
        </x:is>
      </x:c>
      <x:c r="K99" s="6">
        <x:f>IF(AND(ISNUMBER(F99),ISNUMBER(J99)),F99*J99,"")</x:f>
      </x:c>
      <x:c r="L99" s="5" t="inlineStr">
        <x:is>
          <x:t xml:space="preserve"/>
        </x:is>
      </x:c>
    </x:row>
    <x:row r="100" ht="42" customHeight="1">
      <x:c r="A100" s="5" t="inlineStr">
        <x:is>
          <x:t xml:space="preserve">Dome</x:t>
        </x:is>
      </x:c>
      <x:c r="B100" s="5" t="inlineStr">
        <x:is>
          <x:t xml:space="preserve">Full Dome (Phase 2+)</x:t>
        </x:is>
      </x:c>
      <x:c r="C100" s="5" t="inlineStr">
        <x:is>
          <x:t xml:space="preserve">Irrigation &amp; Thermal</x:t>
        </x:is>
      </x:c>
      <x:c r="D100" s="5" t="inlineStr">
        <x:is>
          <x:t xml:space="preserve">Thermal water mass tanks/barrels</x:t>
        </x:is>
      </x:c>
      <x:c r="E100" s="5" t="inlineStr">
        <x:is>
          <x:t xml:space="preserve">Temperature buffering</x:t>
        </x:is>
      </x:c>
      <x:c r="F100" s="10" t="inlineStr">
        <x:is>
          <x:t xml:space="preserve"/>
        </x:is>
      </x:c>
      <x:c r="G100" s="10" t="inlineStr">
        <x:is>
          <x:t xml:space="preserve"/>
        </x:is>
      </x:c>
      <x:c r="H100" s="5" t="inlineStr">
        <x:is>
          <x:t xml:space="preserve">Plumbing</x:t>
        </x:is>
      </x:c>
      <x:c r="I100" s="10" t="inlineStr">
        <x:is>
          <x:t xml:space="preserve">Phase 2</x:t>
        </x:is>
      </x:c>
      <x:c r="J100" s="11" t="inlineStr">
        <x:is>
          <x:t xml:space="preserve"/>
        </x:is>
      </x:c>
      <x:c r="K100" s="6">
        <x:f>IF(AND(ISNUMBER(F100),ISNUMBER(J100)),F100*J100,"")</x:f>
      </x:c>
      <x:c r="L100" s="5" t="inlineStr">
        <x:is>
          <x:t xml:space="preserve"/>
        </x:is>
      </x:c>
    </x:row>
    <x:row r="101" ht="42" customHeight="1">
      <x:c r="A101" s="5" t="inlineStr">
        <x:is>
          <x:t xml:space="preserve">Dome</x:t>
        </x:is>
      </x:c>
      <x:c r="B101" s="5" t="inlineStr">
        <x:is>
          <x:t xml:space="preserve">Full Dome (Phase 2+)</x:t>
        </x:is>
      </x:c>
      <x:c r="C101" s="5" t="inlineStr">
        <x:is>
          <x:t xml:space="preserve">Irrigation &amp; Thermal</x:t>
        </x:is>
      </x:c>
      <x:c r="D101" s="5" t="inlineStr">
        <x:is>
          <x:t xml:space="preserve">Overflow / infiltration routing</x:t>
        </x:is>
      </x:c>
      <x:c r="E101" s="5" t="inlineStr">
        <x:is>
          <x:t xml:space="preserve">Safe discharge</x:t>
        </x:is>
      </x:c>
      <x:c r="F101" s="10" t="inlineStr">
        <x:is>
          <x:t xml:space="preserve"/>
        </x:is>
      </x:c>
      <x:c r="G101" s="10" t="inlineStr">
        <x:is>
          <x:t xml:space="preserve"/>
        </x:is>
      </x:c>
      <x:c r="H101" s="5" t="inlineStr">
        <x:is>
          <x:t xml:space="preserve">Plumbing</x:t>
        </x:is>
      </x:c>
      <x:c r="I101" s="10" t="inlineStr">
        <x:is>
          <x:t xml:space="preserve">Phase 2</x:t>
        </x:is>
      </x:c>
      <x:c r="J101" s="11" t="inlineStr">
        <x:is>
          <x:t xml:space="preserve"/>
        </x:is>
      </x:c>
      <x:c r="K101" s="6">
        <x:f>IF(AND(ISNUMBER(F101),ISNUMBER(J101)),F101*J101,"")</x:f>
      </x:c>
      <x:c r="L101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Clean Water</x:t>
        </x:is>
      </x:c>
      <x:c r="B2" s="5" t="inlineStr">
        <x:is>
          <x:t xml:space="preserve">Shared Infrastructure</x:t>
        </x:is>
      </x:c>
      <x:c r="C2" s="5" t="inlineStr">
        <x:is>
          <x:t xml:space="preserve">Rain Collection</x:t>
        </x:is>
      </x:c>
      <x:c r="D2" s="5" t="inlineStr">
        <x:is>
          <x:t xml:space="preserve">Gutters + downspouts (6 roofs)</x:t>
        </x:is>
      </x:c>
      <x:c r="E2" s="5" t="inlineStr">
        <x:is>
          <x:t xml:space="preserve">Sized for roof area; include debris guards</x:t>
        </x:is>
      </x:c>
      <x:c r="F2" s="10" t="inlineStr">
        <x:is>
          <x:t xml:space="preserve"/>
        </x:is>
      </x:c>
      <x:c r="G2" s="10" t="inlineStr">
        <x:is>
          <x:t xml:space="preserve"/>
        </x:is>
      </x:c>
      <x:c r="H2" s="5" t="inlineStr">
        <x:is>
          <x:t xml:space="preserve">Plumbing</x:t>
        </x:is>
      </x:c>
      <x:c r="I2" s="10" t="inlineStr">
        <x:is>
          <x:t xml:space="preserve">MV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Clean Water</x:t>
        </x:is>
      </x:c>
      <x:c r="B3" s="5" t="inlineStr">
        <x:is>
          <x:t xml:space="preserve">Shared Infrastructure</x:t>
        </x:is>
      </x:c>
      <x:c r="C3" s="5" t="inlineStr">
        <x:is>
          <x:t xml:space="preserve">Rain Collection</x:t>
        </x:is>
      </x:c>
      <x:c r="D3" s="5" t="inlineStr">
        <x:is>
          <x:t xml:space="preserve">Leaf screens / strainers</x:t>
        </x:is>
      </x:c>
      <x:c r="E3" s="5" t="inlineStr">
        <x:is>
          <x:t xml:space="preserve">At each downspout</x:t>
        </x:is>
      </x:c>
      <x:c r="F3" s="10" t="inlineStr">
        <x:is>
          <x:t xml:space="preserve"/>
        </x:is>
      </x:c>
      <x:c r="G3" s="10" t="inlineStr">
        <x:is>
          <x:t xml:space="preserve"/>
        </x:is>
      </x:c>
      <x:c r="H3" s="5" t="inlineStr">
        <x:is>
          <x:t xml:space="preserve">Plumbing</x:t>
        </x:is>
      </x:c>
      <x:c r="I3" s="10" t="inlineStr">
        <x:is>
          <x:t xml:space="preserve">MV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Clean Water</x:t>
        </x:is>
      </x:c>
      <x:c r="B4" s="5" t="inlineStr">
        <x:is>
          <x:t xml:space="preserve">Shared Infrastructure</x:t>
        </x:is>
      </x:c>
      <x:c r="C4" s="5" t="inlineStr">
        <x:is>
          <x:t xml:space="preserve">Rain Collection</x:t>
        </x:is>
      </x:c>
      <x:c r="D4" s="5" t="inlineStr">
        <x:is>
          <x:t xml:space="preserve">First-flush diverter</x:t>
        </x:is>
      </x:c>
      <x:c r="E4" s="5" t="inlineStr">
        <x:is>
          <x:t xml:space="preserve">Shared or per-roof; serviceable</x:t>
        </x:is>
      </x:c>
      <x:c r="F4" s="10" t="inlineStr">
        <x:is>
          <x:t xml:space="preserve"/>
        </x:is>
      </x:c>
      <x:c r="G4" s="10" t="inlineStr">
        <x:is>
          <x:t xml:space="preserve"/>
        </x:is>
      </x:c>
      <x:c r="H4" s="5" t="inlineStr">
        <x:is>
          <x:t xml:space="preserve">Plumbing</x:t>
        </x:is>
      </x:c>
      <x:c r="I4" s="10" t="inlineStr">
        <x:is>
          <x:t xml:space="preserve">MV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Clean Water</x:t>
        </x:is>
      </x:c>
      <x:c r="B5" s="5" t="inlineStr">
        <x:is>
          <x:t xml:space="preserve">Shared Infrastructure</x:t>
        </x:is>
      </x:c>
      <x:c r="C5" s="5" t="inlineStr">
        <x:is>
          <x:t xml:space="preserve">Rain Collection</x:t>
        </x:is>
      </x:c>
      <x:c r="D5" s="5" t="inlineStr">
        <x:is>
          <x:t xml:space="preserve">Header manifold piping</x:t>
        </x:is>
      </x:c>
      <x:c r="E5" s="5" t="inlineStr">
        <x:is>
          <x:t xml:space="preserve">PVC Sch 40 / HDPE; include cleanouts</x:t>
        </x:is>
      </x:c>
      <x:c r="F5" s="10" t="inlineStr">
        <x:is>
          <x:t xml:space="preserve"/>
        </x:is>
      </x:c>
      <x:c r="G5" s="10" t="inlineStr">
        <x:is>
          <x:t xml:space="preserve"/>
        </x:is>
      </x:c>
      <x:c r="H5" s="5" t="inlineStr">
        <x:is>
          <x:t xml:space="preserve">Plumbing</x:t>
        </x:is>
      </x:c>
      <x:c r="I5" s="10" t="inlineStr">
        <x:is>
          <x:t xml:space="preserve">MV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  <x:row r="6" ht="42" customHeight="1">
      <x:c r="A6" s="5" t="inlineStr">
        <x:is>
          <x:t xml:space="preserve">Clean Water</x:t>
        </x:is>
      </x:c>
      <x:c r="B6" s="5" t="inlineStr">
        <x:is>
          <x:t xml:space="preserve">Shared Infrastructure</x:t>
        </x:is>
      </x:c>
      <x:c r="C6" s="5" t="inlineStr">
        <x:is>
          <x:t xml:space="preserve">Rain Collection</x:t>
        </x:is>
      </x:c>
      <x:c r="D6" s="5" t="inlineStr">
        <x:is>
          <x:t xml:space="preserve">Overflow to safe discharge</x:t>
        </x:is>
      </x:c>
      <x:c r="E6" s="5" t="inlineStr">
        <x:is>
          <x:t xml:space="preserve">To storm drain / infiltration (non-erosive)</x:t>
        </x:is>
      </x:c>
      <x:c r="F6" s="10" t="inlineStr">
        <x:is>
          <x:t xml:space="preserve"/>
        </x:is>
      </x:c>
      <x:c r="G6" s="10" t="inlineStr">
        <x:is>
          <x:t xml:space="preserve"/>
        </x:is>
      </x:c>
      <x:c r="H6" s="5" t="inlineStr">
        <x:is>
          <x:t xml:space="preserve">Plumbing</x:t>
        </x:is>
      </x:c>
      <x:c r="I6" s="10" t="inlineStr">
        <x:is>
          <x:t xml:space="preserve">MV</x:t>
        </x:is>
      </x:c>
      <x:c r="J6" s="11" t="inlineStr">
        <x:is>
          <x:t xml:space="preserve"/>
        </x:is>
      </x:c>
      <x:c r="K6" s="6">
        <x:f>IF(AND(ISNUMBER(F6),ISNUMBER(J6)),F6*J6,"")</x:f>
      </x:c>
      <x:c r="L6" s="5" t="inlineStr">
        <x:is>
          <x:t xml:space="preserve"/>
        </x:is>
      </x:c>
    </x:row>
    <x:row r="7" ht="42" customHeight="1">
      <x:c r="A7" s="5" t="inlineStr">
        <x:is>
          <x:t xml:space="preserve">Clean Water</x:t>
        </x:is>
      </x:c>
      <x:c r="B7" s="5" t="inlineStr">
        <x:is>
          <x:t xml:space="preserve">Shared Infrastructure</x:t>
        </x:is>
      </x:c>
      <x:c r="C7" s="5" t="inlineStr">
        <x:is>
          <x:t xml:space="preserve">Filtration &amp; Pressure</x:t>
        </x:is>
      </x:c>
      <x:c r="D7" s="5" t="inlineStr">
        <x:is>
          <x:t xml:space="preserve">Spin-down sediment filter</x:t>
        </x:is>
      </x:c>
      <x:c r="E7" s="5" t="inlineStr">
        <x:is>
          <x:t xml:space="preserve">50–200 micron, flushable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5" t="inlineStr">
        <x:is>
          <x:t xml:space="preserve">Plumbing</x:t>
        </x:is>
      </x:c>
      <x:c r="I7" s="10" t="inlineStr">
        <x:is>
          <x:t xml:space="preserve">MV</x:t>
        </x:is>
      </x:c>
      <x:c r="J7" s="11" t="inlineStr">
        <x:is>
          <x:t xml:space="preserve"/>
        </x:is>
      </x:c>
      <x:c r="K7" s="6">
        <x:f>IF(AND(ISNUMBER(F7),ISNUMBER(J7)),F7*J7,"")</x:f>
      </x:c>
      <x:c r="L7" s="5" t="inlineStr">
        <x:is>
          <x:t xml:space="preserve"/>
        </x:is>
      </x:c>
    </x:row>
    <x:row r="8" ht="42" customHeight="1">
      <x:c r="A8" s="5" t="inlineStr">
        <x:is>
          <x:t xml:space="preserve">Clean Water</x:t>
        </x:is>
      </x:c>
      <x:c r="B8" s="5" t="inlineStr">
        <x:is>
          <x:t xml:space="preserve">Shared Infrastructure</x:t>
        </x:is>
      </x:c>
      <x:c r="C8" s="5" t="inlineStr">
        <x:is>
          <x:t xml:space="preserve">Filtration &amp; Pressure</x:t>
        </x:is>
      </x:c>
      <x:c r="D8" s="5" t="inlineStr">
        <x:is>
          <x:t xml:space="preserve">Cartridge sediment filter</x:t>
        </x:is>
      </x:c>
      <x:c r="E8" s="5" t="inlineStr">
        <x:is>
          <x:t xml:space="preserve">5–20 micron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5" t="inlineStr">
        <x:is>
          <x:t xml:space="preserve">Plumbing</x:t>
        </x:is>
      </x:c>
      <x:c r="I8" s="10" t="inlineStr">
        <x:is>
          <x:t xml:space="preserve">MV</x:t>
        </x:is>
      </x:c>
      <x:c r="J8" s="11" t="inlineStr">
        <x:is>
          <x:t xml:space="preserve"/>
        </x:is>
      </x:c>
      <x:c r="K8" s="6">
        <x:f>IF(AND(ISNUMBER(F8),ISNUMBER(J8)),F8*J8,"")</x:f>
      </x:c>
      <x:c r="L8" s="5" t="inlineStr">
        <x:is>
          <x:t xml:space="preserve"/>
        </x:is>
      </x:c>
    </x:row>
    <x:row r="9" ht="42" customHeight="1">
      <x:c r="A9" s="5" t="inlineStr">
        <x:is>
          <x:t xml:space="preserve">Clean Water</x:t>
        </x:is>
      </x:c>
      <x:c r="B9" s="5" t="inlineStr">
        <x:is>
          <x:t xml:space="preserve">Shared Infrastructure</x:t>
        </x:is>
      </x:c>
      <x:c r="C9" s="5" t="inlineStr">
        <x:is>
          <x:t xml:space="preserve">Filtration &amp; Pressure</x:t>
        </x:is>
      </x:c>
      <x:c r="D9" s="5" t="inlineStr">
        <x:is>
          <x:t xml:space="preserve">Carbon filter (optional)</x:t>
        </x:is>
      </x:c>
      <x:c r="E9" s="5" t="inlineStr">
        <x:is>
          <x:t xml:space="preserve">Taste/odor; if required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5" t="inlineStr">
        <x:is>
          <x:t xml:space="preserve">Plumbing</x:t>
        </x:is>
      </x:c>
      <x:c r="I9" s="10" t="inlineStr">
        <x:is>
          <x:t xml:space="preserve">MV</x:t>
        </x:is>
      </x:c>
      <x:c r="J9" s="11" t="inlineStr">
        <x:is>
          <x:t xml:space="preserve"/>
        </x:is>
      </x:c>
      <x:c r="K9" s="6">
        <x:f>IF(AND(ISNUMBER(F9),ISNUMBER(J9)),F9*J9,"")</x:f>
      </x:c>
      <x:c r="L9" s="5" t="inlineStr">
        <x:is>
          <x:t xml:space="preserve"/>
        </x:is>
      </x:c>
    </x:row>
    <x:row r="10" ht="42" customHeight="1">
      <x:c r="A10" s="5" t="inlineStr">
        <x:is>
          <x:t xml:space="preserve">Clean Water</x:t>
        </x:is>
      </x:c>
      <x:c r="B10" s="5" t="inlineStr">
        <x:is>
          <x:t xml:space="preserve">Shared Infrastructure</x:t>
        </x:is>
      </x:c>
      <x:c r="C10" s="5" t="inlineStr">
        <x:is>
          <x:t xml:space="preserve">Filtration &amp; Pressure</x:t>
        </x:is>
      </x:c>
      <x:c r="D10" s="5" t="inlineStr">
        <x:is>
          <x:t xml:space="preserve">UV sterilizer</x:t>
        </x:is>
      </x:c>
      <x:c r="E10" s="5" t="inlineStr">
        <x:is>
          <x:t xml:space="preserve">Inline UV sized to peak clean flow</x:t>
        </x:is>
      </x:c>
      <x:c r="F10" s="10" t="inlineStr">
        <x:is>
          <x:t xml:space="preserve"/>
        </x:is>
      </x:c>
      <x:c r="G10" s="10" t="inlineStr">
        <x:is>
          <x:t xml:space="preserve"/>
        </x:is>
      </x:c>
      <x:c r="H10" s="5" t="inlineStr">
        <x:is>
          <x:t xml:space="preserve">Controls/Electrical</x:t>
        </x:is>
      </x:c>
      <x:c r="I10" s="10" t="inlineStr">
        <x:is>
          <x:t xml:space="preserve">MV</x:t>
        </x:is>
      </x:c>
      <x:c r="J10" s="11" t="inlineStr">
        <x:is>
          <x:t xml:space="preserve"/>
        </x:is>
      </x:c>
      <x:c r="K10" s="6">
        <x:f>IF(AND(ISNUMBER(F10),ISNUMBER(J10)),F10*J10,"")</x:f>
      </x:c>
      <x:c r="L10" s="5" t="inlineStr">
        <x:is>
          <x:t xml:space="preserve"/>
        </x:is>
      </x:c>
    </x:row>
    <x:row r="11" ht="42" customHeight="1">
      <x:c r="A11" s="5" t="inlineStr">
        <x:is>
          <x:t xml:space="preserve">Clean Water</x:t>
        </x:is>
      </x:c>
      <x:c r="B11" s="5" t="inlineStr">
        <x:is>
          <x:t xml:space="preserve">Shared Infrastructure</x:t>
        </x:is>
      </x:c>
      <x:c r="C11" s="5" t="inlineStr">
        <x:is>
          <x:t xml:space="preserve">Filtration &amp; Pressure</x:t>
        </x:is>
      </x:c>
      <x:c r="D11" s="5" t="inlineStr">
        <x:is>
          <x:t xml:space="preserve">Clean storage tank or bladder</x:t>
        </x:is>
      </x:c>
      <x:c r="E11" s="5" t="inlineStr">
        <x:is>
          <x:t xml:space="preserve">Food-safe; atmospheric; level indicator</x:t>
        </x:is>
      </x:c>
      <x:c r="F11" s="10" t="inlineStr">
        <x:is>
          <x:t xml:space="preserve"/>
        </x:is>
      </x:c>
      <x:c r="G11" s="10" t="inlineStr">
        <x:is>
          <x:t xml:space="preserve"/>
        </x:is>
      </x:c>
      <x:c r="H11" s="5" t="inlineStr">
        <x:is>
          <x:t xml:space="preserve">Plumbing</x:t>
        </x:is>
      </x:c>
      <x:c r="I11" s="10" t="inlineStr">
        <x:is>
          <x:t xml:space="preserve">MV</x:t>
        </x:is>
      </x:c>
      <x:c r="J11" s="11" t="inlineStr">
        <x:is>
          <x:t xml:space="preserve"/>
        </x:is>
      </x:c>
      <x:c r="K11" s="6">
        <x:f>IF(AND(ISNUMBER(F11),ISNUMBER(J11)),F11*J11,"")</x:f>
      </x:c>
      <x:c r="L11" s="5" t="inlineStr">
        <x:is>
          <x:t xml:space="preserve"/>
        </x:is>
      </x:c>
    </x:row>
    <x:row r="12" ht="42" customHeight="1">
      <x:c r="A12" s="5" t="inlineStr">
        <x:is>
          <x:t xml:space="preserve">Clean Water</x:t>
        </x:is>
      </x:c>
      <x:c r="B12" s="5" t="inlineStr">
        <x:is>
          <x:t xml:space="preserve">Shared Infrastructure</x:t>
        </x:is>
      </x:c>
      <x:c r="C12" s="5" t="inlineStr">
        <x:is>
          <x:t xml:space="preserve">Filtration &amp; Pressure</x:t>
        </x:is>
      </x:c>
      <x:c r="D12" s="5" t="inlineStr">
        <x:is>
          <x:t xml:space="preserve">Level sensor</x:t>
        </x:is>
      </x:c>
      <x:c r="E12" s="5" t="inlineStr">
        <x:is>
          <x:t xml:space="preserve">Float/ultrasonic; for pump protect</x:t>
        </x:is>
      </x:c>
      <x:c r="F12" s="10" t="inlineStr">
        <x:is>
          <x:t xml:space="preserve"/>
        </x:is>
      </x:c>
      <x:c r="G12" s="10" t="inlineStr">
        <x:is>
          <x:t xml:space="preserve"/>
        </x:is>
      </x:c>
      <x:c r="H12" s="5" t="inlineStr">
        <x:is>
          <x:t xml:space="preserve">Controls/Electrical</x:t>
        </x:is>
      </x:c>
      <x:c r="I12" s="10" t="inlineStr">
        <x:is>
          <x:t xml:space="preserve">MV</x:t>
        </x:is>
      </x:c>
      <x:c r="J12" s="11" t="inlineStr">
        <x:is>
          <x:t xml:space="preserve"/>
        </x:is>
      </x:c>
      <x:c r="K12" s="6">
        <x:f>IF(AND(ISNUMBER(F12),ISNUMBER(J12)),F12*J12,"")</x:f>
      </x:c>
      <x:c r="L12" s="5" t="inlineStr">
        <x:is>
          <x:t xml:space="preserve"/>
        </x:is>
      </x:c>
    </x:row>
    <x:row r="13" ht="42" customHeight="1">
      <x:c r="A13" s="5" t="inlineStr">
        <x:is>
          <x:t xml:space="preserve">Clean Water</x:t>
        </x:is>
      </x:c>
      <x:c r="B13" s="5" t="inlineStr">
        <x:is>
          <x:t xml:space="preserve">Shared Infrastructure</x:t>
        </x:is>
      </x:c>
      <x:c r="C13" s="5" t="inlineStr">
        <x:is>
          <x:t xml:space="preserve">Filtration &amp; Pressure</x:t>
        </x:is>
      </x:c>
      <x:c r="D13" s="5" t="inlineStr">
        <x:is>
          <x:t xml:space="preserve">Booster pump</x:t>
        </x:is>
      </x:c>
      <x:c r="E13" s="5" t="inlineStr">
        <x:is>
          <x:t xml:space="preserve">On-demand or small VFD; potable rated</x:t>
        </x:is>
      </x:c>
      <x:c r="F13" s="10" t="inlineStr">
        <x:is>
          <x:t xml:space="preserve"/>
        </x:is>
      </x:c>
      <x:c r="G13" s="10" t="inlineStr">
        <x:is>
          <x:t xml:space="preserve"/>
        </x:is>
      </x:c>
      <x:c r="H13" s="5" t="inlineStr">
        <x:is>
          <x:t xml:space="preserve">Plumbing/Electrical</x:t>
        </x:is>
      </x:c>
      <x:c r="I13" s="10" t="inlineStr">
        <x:is>
          <x:t xml:space="preserve">MV</x:t>
        </x:is>
      </x:c>
      <x:c r="J13" s="11" t="inlineStr">
        <x:is>
          <x:t xml:space="preserve"/>
        </x:is>
      </x:c>
      <x:c r="K13" s="6">
        <x:f>IF(AND(ISNUMBER(F13),ISNUMBER(J13)),F13*J13,"")</x:f>
      </x:c>
      <x:c r="L13" s="5" t="inlineStr">
        <x:is>
          <x:t xml:space="preserve"/>
        </x:is>
      </x:c>
    </x:row>
    <x:row r="14" ht="42" customHeight="1">
      <x:c r="A14" s="5" t="inlineStr">
        <x:is>
          <x:t xml:space="preserve">Clean Water</x:t>
        </x:is>
      </x:c>
      <x:c r="B14" s="5" t="inlineStr">
        <x:is>
          <x:t xml:space="preserve">Shared Infrastructure</x:t>
        </x:is>
      </x:c>
      <x:c r="C14" s="5" t="inlineStr">
        <x:is>
          <x:t xml:space="preserve">Filtration &amp; Pressure</x:t>
        </x:is>
      </x:c>
      <x:c r="D14" s="5" t="inlineStr">
        <x:is>
          <x:t xml:space="preserve">Pressure tank</x:t>
        </x:is>
      </x:c>
      <x:c r="E14" s="5" t="inlineStr">
        <x:is>
          <x:t xml:space="preserve">Bladder pressure tank sized to reduce cycling</x:t>
        </x:is>
      </x:c>
      <x:c r="F14" s="10" t="inlineStr">
        <x:is>
          <x:t xml:space="preserve"/>
        </x:is>
      </x:c>
      <x:c r="G14" s="10" t="inlineStr">
        <x:is>
          <x:t xml:space="preserve"/>
        </x:is>
      </x:c>
      <x:c r="H14" s="5" t="inlineStr">
        <x:is>
          <x:t xml:space="preserve">Plumbing</x:t>
        </x:is>
      </x:c>
      <x:c r="I14" s="10" t="inlineStr">
        <x:is>
          <x:t xml:space="preserve">MV</x:t>
        </x:is>
      </x:c>
      <x:c r="J14" s="11" t="inlineStr">
        <x:is>
          <x:t xml:space="preserve"/>
        </x:is>
      </x:c>
      <x:c r="K14" s="6">
        <x:f>IF(AND(ISNUMBER(F14),ISNUMBER(J14)),F14*J14,"")</x:f>
      </x:c>
      <x:c r="L14" s="5" t="inlineStr">
        <x:is>
          <x:t xml:space="preserve"/>
        </x:is>
      </x:c>
    </x:row>
    <x:row r="15" ht="42" customHeight="1">
      <x:c r="A15" s="5" t="inlineStr">
        <x:is>
          <x:t xml:space="preserve">Clean Water</x:t>
        </x:is>
      </x:c>
      <x:c r="B15" s="5" t="inlineStr">
        <x:is>
          <x:t xml:space="preserve">Shared Infrastructure</x:t>
        </x:is>
      </x:c>
      <x:c r="C15" s="5" t="inlineStr">
        <x:is>
          <x:t xml:space="preserve">Filtration &amp; Pressure</x:t>
        </x:is>
      </x:c>
      <x:c r="D15" s="5" t="inlineStr">
        <x:is>
          <x:t xml:space="preserve">Pressure switch + gauge</x:t>
        </x:is>
      </x:c>
      <x:c r="E15" s="5" t="inlineStr">
        <x:is>
          <x:t xml:space="preserve">Typical 35/55 or 40/60 psi</x:t>
        </x:is>
      </x:c>
      <x:c r="F15" s="10" t="inlineStr">
        <x:is>
          <x:t xml:space="preserve"/>
        </x:is>
      </x:c>
      <x:c r="G15" s="10" t="inlineStr">
        <x:is>
          <x:t xml:space="preserve"/>
        </x:is>
      </x:c>
      <x:c r="H15" s="5" t="inlineStr">
        <x:is>
          <x:t xml:space="preserve">Controls/Electrical</x:t>
        </x:is>
      </x:c>
      <x:c r="I15" s="10" t="inlineStr">
        <x:is>
          <x:t xml:space="preserve">MV</x:t>
        </x:is>
      </x:c>
      <x:c r="J15" s="11" t="inlineStr">
        <x:is>
          <x:t xml:space="preserve"/>
        </x:is>
      </x:c>
      <x:c r="K15" s="6">
        <x:f>IF(AND(ISNUMBER(F15),ISNUMBER(J15)),F15*J15,"")</x:f>
      </x:c>
      <x:c r="L15" s="5" t="inlineStr">
        <x:is>
          <x:t xml:space="preserve"/>
        </x:is>
      </x:c>
    </x:row>
    <x:row r="16" ht="42" customHeight="1">
      <x:c r="A16" s="5" t="inlineStr">
        <x:is>
          <x:t xml:space="preserve">Clean Water</x:t>
        </x:is>
      </x:c>
      <x:c r="B16" s="5" t="inlineStr">
        <x:is>
          <x:t xml:space="preserve">Shared Infrastructure</x:t>
        </x:is>
      </x:c>
      <x:c r="C16" s="5" t="inlineStr">
        <x:is>
          <x:t xml:space="preserve">Filtration &amp; Pressure</x:t>
        </x:is>
      </x:c>
      <x:c r="D16" s="5" t="inlineStr">
        <x:is>
          <x:t xml:space="preserve">Backflow preventer (if required)</x:t>
        </x:is>
      </x:c>
      <x:c r="E16" s="5" t="inlineStr">
        <x:is>
          <x:t xml:space="preserve">Per local code / any municipal tie-in</x:t>
        </x:is>
      </x:c>
      <x:c r="F16" s="10" t="inlineStr">
        <x:is>
          <x:t xml:space="preserve"/>
        </x:is>
      </x:c>
      <x:c r="G16" s="10" t="inlineStr">
        <x:is>
          <x:t xml:space="preserve"/>
        </x:is>
      </x:c>
      <x:c r="H16" s="5" t="inlineStr">
        <x:is>
          <x:t xml:space="preserve">Plumbing</x:t>
        </x:is>
      </x:c>
      <x:c r="I16" s="10" t="inlineStr">
        <x:is>
          <x:t xml:space="preserve">MV</x:t>
        </x:is>
      </x:c>
      <x:c r="J16" s="11" t="inlineStr">
        <x:is>
          <x:t xml:space="preserve"/>
        </x:is>
      </x:c>
      <x:c r="K16" s="6">
        <x:f>IF(AND(ISNUMBER(F16),ISNUMBER(J16)),F16*J16,"")</x:f>
      </x:c>
      <x:c r="L16" s="5" t="inlineStr">
        <x:is>
          <x:t xml:space="preserve"/>
        </x:is>
      </x:c>
    </x:row>
    <x:row r="17" ht="42" customHeight="1">
      <x:c r="A17" s="5" t="inlineStr">
        <x:is>
          <x:t xml:space="preserve">Clean Water</x:t>
        </x:is>
      </x:c>
      <x:c r="B17" s="5" t="inlineStr">
        <x:is>
          <x:t xml:space="preserve">Shared Infrastructure</x:t>
        </x:is>
      </x:c>
      <x:c r="C17" s="5" t="inlineStr">
        <x:is>
          <x:t xml:space="preserve">Filtration &amp; Pressure</x:t>
        </x:is>
      </x:c>
      <x:c r="D17" s="5" t="inlineStr">
        <x:is>
          <x:t xml:space="preserve">Distribution manifold (labeled)</x:t>
        </x:is>
      </x:c>
      <x:c r="E17" s="5" t="inlineStr">
        <x:is>
          <x:t xml:space="preserve">Ports to each clean module</x:t>
        </x:is>
      </x:c>
      <x:c r="F17" s="10" t="inlineStr">
        <x:is>
          <x:t xml:space="preserve"/>
        </x:is>
      </x:c>
      <x:c r="G17" s="10" t="inlineStr">
        <x:is>
          <x:t xml:space="preserve"/>
        </x:is>
      </x:c>
      <x:c r="H17" s="5" t="inlineStr">
        <x:is>
          <x:t xml:space="preserve">Plumbing</x:t>
        </x:is>
      </x:c>
      <x:c r="I17" s="10" t="inlineStr">
        <x:is>
          <x:t xml:space="preserve">MV</x:t>
        </x:is>
      </x:c>
      <x:c r="J17" s="11" t="inlineStr">
        <x:is>
          <x:t xml:space="preserve"/>
        </x:is>
      </x:c>
      <x:c r="K17" s="6">
        <x:f>IF(AND(ISNUMBER(F17),ISNUMBER(J17)),F17*J17,"")</x:f>
      </x:c>
      <x:c r="L17" s="5" t="inlineStr">
        <x:is>
          <x:t xml:space="preserve"/>
        </x:is>
      </x:c>
    </x:row>
    <x:row r="18" ht="42" customHeight="1">
      <x:c r="A18" s="5" t="inlineStr">
        <x:is>
          <x:t xml:space="preserve">Clean Water</x:t>
        </x:is>
      </x:c>
      <x:c r="B18" s="5" t="inlineStr">
        <x:is>
          <x:t xml:space="preserve">Shared Infrastructure</x:t>
        </x:is>
      </x:c>
      <x:c r="C18" s="5" t="inlineStr">
        <x:is>
          <x:t xml:space="preserve">Solar Hot Water</x:t>
        </x:is>
      </x:c>
      <x:c r="D18" s="5" t="inlineStr">
        <x:is>
          <x:t xml:space="preserve">Solar thermal collector(s)</x:t>
        </x:is>
      </x:c>
      <x:c r="E18" s="5" t="inlineStr">
        <x:is>
          <x:t xml:space="preserve">Roof/ground mount; freeze protection as needed</x:t>
        </x:is>
      </x:c>
      <x:c r="F18" s="10" t="inlineStr">
        <x:is>
          <x:t xml:space="preserve"/>
        </x:is>
      </x:c>
      <x:c r="G18" s="10" t="inlineStr">
        <x:is>
          <x:t xml:space="preserve"/>
        </x:is>
      </x:c>
      <x:c r="H18" s="5" t="inlineStr">
        <x:is>
          <x:t xml:space="preserve">Solar/Thermal</x:t>
        </x:is>
      </x:c>
      <x:c r="I18" s="10" t="inlineStr">
        <x:is>
          <x:t xml:space="preserve">Phase 2</x:t>
        </x:is>
      </x:c>
      <x:c r="J18" s="11" t="inlineStr">
        <x:is>
          <x:t xml:space="preserve"/>
        </x:is>
      </x:c>
      <x:c r="K18" s="6">
        <x:f>IF(AND(ISNUMBER(F18),ISNUMBER(J18)),F18*J18,"")</x:f>
      </x:c>
      <x:c r="L18" s="5" t="inlineStr">
        <x:is>
          <x:t xml:space="preserve"/>
        </x:is>
      </x:c>
    </x:row>
    <x:row r="19" ht="42" customHeight="1">
      <x:c r="A19" s="5" t="inlineStr">
        <x:is>
          <x:t xml:space="preserve">Clean Water</x:t>
        </x:is>
      </x:c>
      <x:c r="B19" s="5" t="inlineStr">
        <x:is>
          <x:t xml:space="preserve">Shared Infrastructure</x:t>
        </x:is>
      </x:c>
      <x:c r="C19" s="5" t="inlineStr">
        <x:is>
          <x:t xml:space="preserve">Solar Hot Water</x:t>
        </x:is>
      </x:c>
      <x:c r="D19" s="5" t="inlineStr">
        <x:is>
          <x:t xml:space="preserve">Solar hot water storage tank</x:t>
        </x:is>
      </x:c>
      <x:c r="E19" s="5" t="inlineStr">
        <x:is>
          <x:t xml:space="preserve">Insulated; sized to usage</x:t>
        </x:is>
      </x:c>
      <x:c r="F19" s="10" t="inlineStr">
        <x:is>
          <x:t xml:space="preserve"/>
        </x:is>
      </x:c>
      <x:c r="G19" s="10" t="inlineStr">
        <x:is>
          <x:t xml:space="preserve"/>
        </x:is>
      </x:c>
      <x:c r="H19" s="5" t="inlineStr">
        <x:is>
          <x:t xml:space="preserve">Solar/Thermal</x:t>
        </x:is>
      </x:c>
      <x:c r="I19" s="10" t="inlineStr">
        <x:is>
          <x:t xml:space="preserve">Phase 2</x:t>
        </x:is>
      </x:c>
      <x:c r="J19" s="11" t="inlineStr">
        <x:is>
          <x:t xml:space="preserve"/>
        </x:is>
      </x:c>
      <x:c r="K19" s="6">
        <x:f>IF(AND(ISNUMBER(F19),ISNUMBER(J19)),F19*J19,"")</x:f>
      </x:c>
      <x:c r="L19" s="5" t="inlineStr">
        <x:is>
          <x:t xml:space="preserve"/>
        </x:is>
      </x:c>
    </x:row>
    <x:row r="20" ht="42" customHeight="1">
      <x:c r="A20" s="5" t="inlineStr">
        <x:is>
          <x:t xml:space="preserve">Clean Water</x:t>
        </x:is>
      </x:c>
      <x:c r="B20" s="5" t="inlineStr">
        <x:is>
          <x:t xml:space="preserve">Shared Infrastructure</x:t>
        </x:is>
      </x:c>
      <x:c r="C20" s="5" t="inlineStr">
        <x:is>
          <x:t xml:space="preserve">Solar Hot Water</x:t>
        </x:is>
      </x:c>
      <x:c r="D20" s="5" t="inlineStr">
        <x:is>
          <x:t xml:space="preserve">Mixing/tempering valve</x:t>
        </x:is>
      </x:c>
      <x:c r="E20" s="5" t="inlineStr">
        <x:is>
          <x:t xml:space="preserve">Anti-scald; code-compliant</x:t>
        </x:is>
      </x:c>
      <x:c r="F20" s="10" t="inlineStr">
        <x:is>
          <x:t xml:space="preserve"/>
        </x:is>
      </x:c>
      <x:c r="G20" s="10" t="inlineStr">
        <x:is>
          <x:t xml:space="preserve"/>
        </x:is>
      </x:c>
      <x:c r="H20" s="5" t="inlineStr">
        <x:is>
          <x:t xml:space="preserve">Plumbing</x:t>
        </x:is>
      </x:c>
      <x:c r="I20" s="10" t="inlineStr">
        <x:is>
          <x:t xml:space="preserve">Phase 2</x:t>
        </x:is>
      </x:c>
      <x:c r="J20" s="11" t="inlineStr">
        <x:is>
          <x:t xml:space="preserve"/>
        </x:is>
      </x:c>
      <x:c r="K20" s="6">
        <x:f>IF(AND(ISNUMBER(F20),ISNUMBER(J20)),F20*J20,"")</x:f>
      </x:c>
      <x:c r="L20" s="5" t="inlineStr">
        <x:is>
          <x:t xml:space="preserve"/>
        </x:is>
      </x:c>
    </x:row>
    <x:row r="21" ht="42" customHeight="1">
      <x:c r="A21" s="5" t="inlineStr">
        <x:is>
          <x:t xml:space="preserve">Clean Water</x:t>
        </x:is>
      </x:c>
      <x:c r="B21" s="5" t="inlineStr">
        <x:is>
          <x:t xml:space="preserve">Shared Infrastructure</x:t>
        </x:is>
      </x:c>
      <x:c r="C21" s="5" t="inlineStr">
        <x:is>
          <x:t xml:space="preserve">Solar Hot Water</x:t>
        </x:is>
      </x:c>
      <x:c r="D21" s="5" t="inlineStr">
        <x:is>
          <x:t xml:space="preserve">Circulation pump</x:t>
        </x:is>
      </x:c>
      <x:c r="E21" s="5" t="inlineStr">
        <x:is>
          <x:t xml:space="preserve">Solar-rated; low power</x:t>
        </x:is>
      </x:c>
      <x:c r="F21" s="10" t="inlineStr">
        <x:is>
          <x:t xml:space="preserve"/>
        </x:is>
      </x:c>
      <x:c r="G21" s="10" t="inlineStr">
        <x:is>
          <x:t xml:space="preserve"/>
        </x:is>
      </x:c>
      <x:c r="H21" s="5" t="inlineStr">
        <x:is>
          <x:t xml:space="preserve">Solar/Thermal</x:t>
        </x:is>
      </x:c>
      <x:c r="I21" s="10" t="inlineStr">
        <x:is>
          <x:t xml:space="preserve">Phase 2</x:t>
        </x:is>
      </x:c>
      <x:c r="J21" s="11" t="inlineStr">
        <x:is>
          <x:t xml:space="preserve"/>
        </x:is>
      </x:c>
      <x:c r="K21" s="6">
        <x:f>IF(AND(ISNUMBER(F21),ISNUMBER(J21)),F21*J21,"")</x:f>
      </x:c>
      <x:c r="L21" s="5" t="inlineStr">
        <x:is>
          <x:t xml:space="preserve"/>
        </x:is>
      </x:c>
    </x:row>
    <x:row r="22" ht="42" customHeight="1">
      <x:c r="A22" s="5" t="inlineStr">
        <x:is>
          <x:t xml:space="preserve">Clean Water</x:t>
        </x:is>
      </x:c>
      <x:c r="B22" s="5" t="inlineStr">
        <x:is>
          <x:t xml:space="preserve">Shared Infrastructure</x:t>
        </x:is>
      </x:c>
      <x:c r="C22" s="5" t="inlineStr">
        <x:is>
          <x:t xml:space="preserve">Solar Hot Water</x:t>
        </x:is>
      </x:c>
      <x:c r="D22" s="5" t="inlineStr">
        <x:is>
          <x:t xml:space="preserve">Expansion tank + relief valves</x:t>
        </x:is>
      </x:c>
      <x:c r="E22" s="5" t="inlineStr">
        <x:is>
          <x:t xml:space="preserve">Per code</x:t>
        </x:is>
      </x:c>
      <x:c r="F22" s="10" t="inlineStr">
        <x:is>
          <x:t xml:space="preserve"/>
        </x:is>
      </x:c>
      <x:c r="G22" s="10" t="inlineStr">
        <x:is>
          <x:t xml:space="preserve"/>
        </x:is>
      </x:c>
      <x:c r="H22" s="5" t="inlineStr">
        <x:is>
          <x:t xml:space="preserve">Plumbing</x:t>
        </x:is>
      </x:c>
      <x:c r="I22" s="10" t="inlineStr">
        <x:is>
          <x:t xml:space="preserve">Phase 2</x:t>
        </x:is>
      </x:c>
      <x:c r="J22" s="11" t="inlineStr">
        <x:is>
          <x:t xml:space="preserve"/>
        </x:is>
      </x:c>
      <x:c r="K22" s="6">
        <x:f>IF(AND(ISNUMBER(F22),ISNUMBER(J22)),F22*J22,"")</x:f>
      </x:c>
      <x:c r="L22" s="5" t="inlineStr">
        <x:is>
          <x:t xml:space="preserve"/>
        </x:is>
      </x:c>
    </x:row>
    <x:row r="23" ht="42" customHeight="1">
      <x:c r="A23" s="5" t="inlineStr">
        <x:is>
          <x:t xml:space="preserve">Clean Water</x:t>
        </x:is>
      </x:c>
      <x:c r="B23" s="5" t="inlineStr">
        <x:is>
          <x:t xml:space="preserve">Shared Infrastructure</x:t>
        </x:is>
      </x:c>
      <x:c r="C23" s="5" t="inlineStr">
        <x:is>
          <x:t xml:space="preserve">Solar Hot Water</x:t>
        </x:is>
      </x:c>
      <x:c r="D23" s="5" t="inlineStr">
        <x:is>
          <x:t xml:space="preserve">Insulated hot water lines</x:t>
        </x:is>
      </x:c>
      <x:c r="E23" s="5" t="inlineStr">
        <x:is>
          <x:t xml:space="preserve">To operator/harvest sinks</x:t>
        </x:is>
      </x:c>
      <x:c r="F23" s="10" t="inlineStr">
        <x:is>
          <x:t xml:space="preserve"/>
        </x:is>
      </x:c>
      <x:c r="G23" s="10" t="inlineStr">
        <x:is>
          <x:t xml:space="preserve"/>
        </x:is>
      </x:c>
      <x:c r="H23" s="5" t="inlineStr">
        <x:is>
          <x:t xml:space="preserve">Plumbing</x:t>
        </x:is>
      </x:c>
      <x:c r="I23" s="10" t="inlineStr">
        <x:is>
          <x:t xml:space="preserve">Phase 2</x:t>
        </x:is>
      </x:c>
      <x:c r="J23" s="11" t="inlineStr">
        <x:is>
          <x:t xml:space="preserve"/>
        </x:is>
      </x:c>
      <x:c r="K23" s="6">
        <x:f>IF(AND(ISNUMBER(F23),ISNUMBER(J23)),F23*J23,"")</x:f>
      </x:c>
      <x:c r="L23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Production</x:t>
        </x:is>
      </x:c>
      <x:c r="B2" s="5" t="inlineStr">
        <x:is>
          <x:t xml:space="preserve">Germination Engine (Microgreens)</x:t>
        </x:is>
      </x:c>
      <x:c r="C2" s="5" t="inlineStr">
        <x:is>
          <x:t xml:space="preserve">Irrigation &amp; Equipment</x:t>
        </x:is>
      </x:c>
      <x:c r="D2" s="5" t="inlineStr">
        <x:is>
          <x:t xml:space="preserve">Branch line + shutoff valve</x:t>
        </x:is>
      </x:c>
      <x:c r="E2" s="5" t="inlineStr">
        <x:is>
          <x:t xml:space="preserve">Dedicated branch from clean manifold</x:t>
        </x:is>
      </x:c>
      <x:c r="F2" s="12" t="n">
        <x:v>1</x:v>
      </x:c>
      <x:c r="G2" s="10" t="inlineStr">
        <x:is>
          <x:t xml:space="preserve">set</x:t>
        </x:is>
      </x:c>
      <x:c r="H2" s="5" t="inlineStr">
        <x:is>
          <x:t xml:space="preserve">Plumbing</x:t>
        </x:is>
      </x:c>
      <x:c r="I2" s="10" t="inlineStr">
        <x:is>
          <x:t xml:space="preserve">MV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Production</x:t>
        </x:is>
      </x:c>
      <x:c r="B3" s="5" t="inlineStr">
        <x:is>
          <x:t xml:space="preserve">Germination Engine (Microgreens)</x:t>
        </x:is>
      </x:c>
      <x:c r="C3" s="5" t="inlineStr">
        <x:is>
          <x:t xml:space="preserve">Irrigation &amp; Equipment</x:t>
        </x:is>
      </x:c>
      <x:c r="D3" s="5" t="inlineStr">
        <x:is>
          <x:t xml:space="preserve">Pressure regulator</x:t>
        </x:is>
      </x:c>
      <x:c r="E3" s="5" t="inlineStr">
        <x:is>
          <x:t xml:space="preserve">15–25 psi at emitters</x:t>
        </x:is>
      </x:c>
      <x:c r="F3" s="12" t="n">
        <x:v>1</x:v>
      </x:c>
      <x:c r="G3" s="10" t="inlineStr">
        <x:is>
          <x:t xml:space="preserve">ea</x:t>
        </x:is>
      </x:c>
      <x:c r="H3" s="5" t="inlineStr">
        <x:is>
          <x:t xml:space="preserve">Plumbing</x:t>
        </x:is>
      </x:c>
      <x:c r="I3" s="10" t="inlineStr">
        <x:is>
          <x:t xml:space="preserve">MV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Production</x:t>
        </x:is>
      </x:c>
      <x:c r="B4" s="5" t="inlineStr">
        <x:is>
          <x:t xml:space="preserve">Germination Engine (Microgreens)</x:t>
        </x:is>
      </x:c>
      <x:c r="C4" s="5" t="inlineStr">
        <x:is>
          <x:t xml:space="preserve">Irrigation &amp; Equipment</x:t>
        </x:is>
      </x:c>
      <x:c r="D4" s="5" t="inlineStr">
        <x:is>
          <x:t xml:space="preserve">Solenoid valve + timer (optional)</x:t>
        </x:is>
      </x:c>
      <x:c r="E4" s="5" t="inlineStr">
        <x:is>
          <x:t xml:space="preserve">Pulse misting control</x:t>
        </x:is>
      </x:c>
      <x:c r="F4" s="12" t="n">
        <x:v>1</x:v>
      </x:c>
      <x:c r="G4" s="10" t="inlineStr">
        <x:is>
          <x:t xml:space="preserve">set</x:t>
        </x:is>
      </x:c>
      <x:c r="H4" s="5" t="inlineStr">
        <x:is>
          <x:t xml:space="preserve">Controls/Electrical</x:t>
        </x:is>
      </x:c>
      <x:c r="I4" s="10" t="inlineStr">
        <x:is>
          <x:t xml:space="preserve">MV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Production</x:t>
        </x:is>
      </x:c>
      <x:c r="B5" s="5" t="inlineStr">
        <x:is>
          <x:t xml:space="preserve">Germination Engine (Microgreens)</x:t>
        </x:is>
      </x:c>
      <x:c r="C5" s="5" t="inlineStr">
        <x:is>
          <x:t xml:space="preserve">Irrigation &amp; Equipment</x:t>
        </x:is>
      </x:c>
      <x:c r="D5" s="5" t="inlineStr">
        <x:is>
          <x:t xml:space="preserve">Misting nozzles + manifold</x:t>
        </x:is>
      </x:c>
      <x:c r="E5" s="5" t="inlineStr">
        <x:is>
          <x:t xml:space="preserve">Food-safe tubing, easy clean</x:t>
        </x:is>
      </x:c>
      <x:c r="F5" s="12" t="n">
        <x:v>1</x:v>
      </x:c>
      <x:c r="G5" s="10" t="inlineStr">
        <x:is>
          <x:t xml:space="preserve">set</x:t>
        </x:is>
      </x:c>
      <x:c r="H5" s="5" t="inlineStr">
        <x:is>
          <x:t xml:space="preserve">Plumbing</x:t>
        </x:is>
      </x:c>
      <x:c r="I5" s="10" t="inlineStr">
        <x:is>
          <x:t xml:space="preserve">MV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  <x:row r="6" ht="42" customHeight="1">
      <x:c r="A6" s="5" t="inlineStr">
        <x:is>
          <x:t xml:space="preserve">Production</x:t>
        </x:is>
      </x:c>
      <x:c r="B6" s="5" t="inlineStr">
        <x:is>
          <x:t xml:space="preserve">Germination Engine (Microgreens)</x:t>
        </x:is>
      </x:c>
      <x:c r="C6" s="5" t="inlineStr">
        <x:is>
          <x:t xml:space="preserve">Irrigation &amp; Equipment</x:t>
        </x:is>
      </x:c>
      <x:c r="D6" s="5" t="inlineStr">
        <x:is>
          <x:t xml:space="preserve">Drain trough / floor drain connection</x:t>
        </x:is>
      </x:c>
      <x:c r="E6" s="5" t="inlineStr">
        <x:is>
          <x:t xml:space="preserve">All drain to Head 2 boundary</x:t>
        </x:is>
      </x:c>
      <x:c r="F6" s="12" t="n">
        <x:v>1</x:v>
      </x:c>
      <x:c r="G6" s="10" t="inlineStr">
        <x:is>
          <x:t xml:space="preserve">set</x:t>
        </x:is>
      </x:c>
      <x:c r="H6" s="5" t="inlineStr">
        <x:is>
          <x:t xml:space="preserve">Plumbing</x:t>
        </x:is>
      </x:c>
      <x:c r="I6" s="10" t="inlineStr">
        <x:is>
          <x:t xml:space="preserve">MV</x:t>
        </x:is>
      </x:c>
      <x:c r="J6" s="11" t="inlineStr">
        <x:is>
          <x:t xml:space="preserve"/>
        </x:is>
      </x:c>
      <x:c r="K6" s="6">
        <x:f>IF(AND(ISNUMBER(F6),ISNUMBER(J6)),F6*J6,"")</x:f>
      </x:c>
      <x:c r="L6" s="5" t="inlineStr">
        <x:is>
          <x:t xml:space="preserve"/>
        </x:is>
      </x:c>
    </x:row>
    <x:row r="7" ht="42" customHeight="1">
      <x:c r="A7" s="5" t="inlineStr">
        <x:is>
          <x:t xml:space="preserve">Production</x:t>
        </x:is>
      </x:c>
      <x:c r="B7" s="5" t="inlineStr">
        <x:is>
          <x:t xml:space="preserve">Germination Engine (Microgreens)</x:t>
        </x:is>
      </x:c>
      <x:c r="C7" s="5" t="inlineStr">
        <x:is>
          <x:t xml:space="preserve">Irrigation &amp; Equipment</x:t>
        </x:is>
      </x:c>
      <x:c r="D7" s="5" t="inlineStr">
        <x:is>
          <x:t xml:space="preserve">NSF 6-tier rack</x:t>
        </x:is>
      </x:c>
      <x:c r="E7" s="5" t="inlineStr">
        <x:is>
          <x:t xml:space="preserve">Primary grow racks</x:t>
        </x:is>
      </x:c>
      <x:c r="F7" s="12" t="n">
        <x:v>2</x:v>
      </x:c>
      <x:c r="G7" s="10" t="inlineStr">
        <x:is>
          <x:t xml:space="preserve">ea</x:t>
        </x:is>
      </x:c>
      <x:c r="H7" s="5" t="inlineStr">
        <x:is>
          <x:t xml:space="preserve">Structural</x:t>
        </x:is>
      </x:c>
      <x:c r="I7" s="10" t="inlineStr">
        <x:is>
          <x:t xml:space="preserve">MV</x:t>
        </x:is>
      </x:c>
      <x:c r="J7" s="11" t="inlineStr">
        <x:is>
          <x:t xml:space="preserve"/>
        </x:is>
      </x:c>
      <x:c r="K7" s="6">
        <x:f>IF(AND(ISNUMBER(F7),ISNUMBER(J7)),F7*J7,"")</x:f>
      </x:c>
      <x:c r="L7" s="5" t="inlineStr">
        <x:is>
          <x:t xml:space="preserve"/>
        </x:is>
      </x:c>
    </x:row>
    <x:row r="8" ht="42" customHeight="1">
      <x:c r="A8" s="5" t="inlineStr">
        <x:is>
          <x:t xml:space="preserve">Production</x:t>
        </x:is>
      </x:c>
      <x:c r="B8" s="5" t="inlineStr">
        <x:is>
          <x:t xml:space="preserve">Germination Engine (Microgreens)</x:t>
        </x:is>
      </x:c>
      <x:c r="C8" s="5" t="inlineStr">
        <x:is>
          <x:t xml:space="preserve">Irrigation &amp; Equipment</x:t>
        </x:is>
      </x:c>
      <x:c r="D8" s="5" t="inlineStr">
        <x:is>
          <x:t xml:space="preserve">Barina 4ft LED light bars</x:t>
        </x:is>
      </x:c>
      <x:c r="E8" s="5" t="inlineStr">
        <x:is>
          <x:t xml:space="preserve">Lighting on racks</x:t>
        </x:is>
      </x:c>
      <x:c r="F8" s="12" t="n">
        <x:v>6</x:v>
      </x:c>
      <x:c r="G8" s="10" t="inlineStr">
        <x:is>
          <x:t xml:space="preserve">ea</x:t>
        </x:is>
      </x:c>
      <x:c r="H8" s="5" t="inlineStr">
        <x:is>
          <x:t xml:space="preserve">Electrical</x:t>
        </x:is>
      </x:c>
      <x:c r="I8" s="10" t="inlineStr">
        <x:is>
          <x:t xml:space="preserve">MV</x:t>
        </x:is>
      </x:c>
      <x:c r="J8" s="11" t="inlineStr">
        <x:is>
          <x:t xml:space="preserve"/>
        </x:is>
      </x:c>
      <x:c r="K8" s="6">
        <x:f>IF(AND(ISNUMBER(F8),ISNUMBER(J8)),F8*J8,"")</x:f>
      </x:c>
      <x:c r="L8" s="5" t="inlineStr">
        <x:is>
          <x:t xml:space="preserve"/>
        </x:is>
      </x:c>
    </x:row>
    <x:row r="9" ht="42" customHeight="1">
      <x:c r="A9" s="5" t="inlineStr">
        <x:is>
          <x:t xml:space="preserve">Production</x:t>
        </x:is>
      </x:c>
      <x:c r="B9" s="5" t="inlineStr">
        <x:is>
          <x:t xml:space="preserve">Germination Engine (Microgreens)</x:t>
        </x:is>
      </x:c>
      <x:c r="C9" s="5" t="inlineStr">
        <x:is>
          <x:t xml:space="preserve">Irrigation &amp; Equipment</x:t>
        </x:is>
      </x:c>
      <x:c r="D9" s="5" t="inlineStr">
        <x:is>
          <x:t xml:space="preserve">Dehumidifier</x:t>
        </x:is>
      </x:c>
      <x:c r="E9" s="5" t="inlineStr">
        <x:is>
          <x:t xml:space="preserve">Maintain RH band</x:t>
        </x:is>
      </x:c>
      <x:c r="F9" s="12" t="n">
        <x:v>1</x:v>
      </x:c>
      <x:c r="G9" s="10" t="inlineStr">
        <x:is>
          <x:t xml:space="preserve">ea</x:t>
        </x:is>
      </x:c>
      <x:c r="H9" s="5" t="inlineStr">
        <x:is>
          <x:t xml:space="preserve">HVAC</x:t>
        </x:is>
      </x:c>
      <x:c r="I9" s="10" t="inlineStr">
        <x:is>
          <x:t xml:space="preserve">MV</x:t>
        </x:is>
      </x:c>
      <x:c r="J9" s="11" t="inlineStr">
        <x:is>
          <x:t xml:space="preserve"/>
        </x:is>
      </x:c>
      <x:c r="K9" s="6">
        <x:f>IF(AND(ISNUMBER(F9),ISNUMBER(J9)),F9*J9,"")</x:f>
      </x:c>
      <x:c r="L9" s="5" t="inlineStr">
        <x:is>
          <x:t xml:space="preserve"/>
        </x:is>
      </x:c>
    </x:row>
    <x:row r="10" ht="42" customHeight="1">
      <x:c r="A10" s="5" t="inlineStr">
        <x:is>
          <x:t xml:space="preserve">Production</x:t>
        </x:is>
      </x:c>
      <x:c r="B10" s="5" t="inlineStr">
        <x:is>
          <x:t xml:space="preserve">Germination Engine (Microgreens)</x:t>
        </x:is>
      </x:c>
      <x:c r="C10" s="5" t="inlineStr">
        <x:is>
          <x:t xml:space="preserve">Irrigation &amp; Equipment</x:t>
        </x:is>
      </x:c>
      <x:c r="D10" s="5" t="inlineStr">
        <x:is>
          <x:t xml:space="preserve">Inline water meter</x:t>
        </x:is>
      </x:c>
      <x:c r="E10" s="5" t="inlineStr">
        <x:is>
          <x:t xml:space="preserve">Track clean water use</x:t>
        </x:is>
      </x:c>
      <x:c r="F10" s="12" t="n">
        <x:v>1</x:v>
      </x:c>
      <x:c r="G10" s="10" t="inlineStr">
        <x:is>
          <x:t xml:space="preserve">ea</x:t>
        </x:is>
      </x:c>
      <x:c r="H10" s="5" t="inlineStr">
        <x:is>
          <x:t xml:space="preserve">Plumbing</x:t>
        </x:is>
      </x:c>
      <x:c r="I10" s="10" t="inlineStr">
        <x:is>
          <x:t xml:space="preserve">MV</x:t>
        </x:is>
      </x:c>
      <x:c r="J10" s="11" t="inlineStr">
        <x:is>
          <x:t xml:space="preserve"/>
        </x:is>
      </x:c>
      <x:c r="K10" s="6">
        <x:f>IF(AND(ISNUMBER(F10),ISNUMBER(J10)),F10*J10,"")</x:f>
      </x:c>
      <x:c r="L10" s="5" t="inlineStr">
        <x:is>
          <x:t xml:space="preserve"/>
        </x:is>
      </x:c>
    </x:row>
    <x:row r="11" ht="42" customHeight="1">
      <x:c r="A11" s="5" t="inlineStr">
        <x:is>
          <x:t xml:space="preserve">Production</x:t>
        </x:is>
      </x:c>
      <x:c r="B11" s="5" t="inlineStr">
        <x:is>
          <x:t xml:space="preserve">Germination Engine (Microgreens)</x:t>
        </x:is>
      </x:c>
      <x:c r="C11" s="5" t="inlineStr">
        <x:is>
          <x:t xml:space="preserve">Irrigation &amp; Equipment</x:t>
        </x:is>
      </x:c>
      <x:c r="D11" s="5" t="inlineStr">
        <x:is>
          <x:t xml:space="preserve">Smart plug / energy logger</x:t>
        </x:is>
      </x:c>
      <x:c r="E11" s="5" t="inlineStr">
        <x:is>
          <x:t xml:space="preserve">Runtime + kWh tracking</x:t>
        </x:is>
      </x:c>
      <x:c r="F11" s="12" t="n">
        <x:v>1</x:v>
      </x:c>
      <x:c r="G11" s="10" t="inlineStr">
        <x:is>
          <x:t xml:space="preserve">ea</x:t>
        </x:is>
      </x:c>
      <x:c r="H11" s="5" t="inlineStr">
        <x:is>
          <x:t xml:space="preserve">Controls/Electrical</x:t>
        </x:is>
      </x:c>
      <x:c r="I11" s="10" t="inlineStr">
        <x:is>
          <x:t xml:space="preserve">MV</x:t>
        </x:is>
      </x:c>
      <x:c r="J11" s="11" t="inlineStr">
        <x:is>
          <x:t xml:space="preserve"/>
        </x:is>
      </x:c>
      <x:c r="K11" s="6">
        <x:f>IF(AND(ISNUMBER(F11),ISNUMBER(J11)),F11*J11,"")</x:f>
      </x:c>
      <x:c r="L11" s="5" t="inlineStr">
        <x:is>
          <x:t xml:space="preserve"/>
        </x:is>
      </x:c>
    </x:row>
    <x:row r="12" ht="42" customHeight="1">
      <x:c r="A12" s="5" t="inlineStr">
        <x:is>
          <x:t xml:space="preserve">Production</x:t>
        </x:is>
      </x:c>
      <x:c r="B12" s="5" t="inlineStr">
        <x:is>
          <x:t xml:space="preserve">Germination Engine (Microgreens)</x:t>
        </x:is>
      </x:c>
      <x:c r="C12" s="5" t="inlineStr">
        <x:is>
          <x:t xml:space="preserve">Irrigation &amp; Equipment</x:t>
        </x:is>
      </x:c>
      <x:c r="D12" s="5" t="inlineStr">
        <x:is>
          <x:t xml:space="preserve">Microgreen trays (reusable)</x:t>
        </x:is>
      </x:c>
      <x:c r="E12" s="5" t="inlineStr">
        <x:is>
          <x:t xml:space="preserve">Sized to racks</x:t>
        </x:is>
      </x:c>
      <x:c r="F12" s="12" t="n">
        <x:v>1</x:v>
      </x:c>
      <x:c r="G12" s="10" t="inlineStr">
        <x:is>
          <x:t xml:space="preserve">lot</x:t>
        </x:is>
      </x:c>
      <x:c r="H12" s="5" t="inlineStr">
        <x:is>
          <x:t xml:space="preserve">Food-safety</x:t>
        </x:is>
      </x:c>
      <x:c r="I12" s="10" t="inlineStr">
        <x:is>
          <x:t xml:space="preserve">MV</x:t>
        </x:is>
      </x:c>
      <x:c r="J12" s="11" t="inlineStr">
        <x:is>
          <x:t xml:space="preserve"/>
        </x:is>
      </x:c>
      <x:c r="K12" s="6">
        <x:f>IF(AND(ISNUMBER(F12),ISNUMBER(J12)),F12*J12,"")</x:f>
      </x:c>
      <x:c r="L12" s="5" t="inlineStr">
        <x:is>
          <x:t xml:space="preserve"/>
        </x:is>
      </x:c>
    </x:row>
    <x:row r="13" ht="42" customHeight="1">
      <x:c r="A13" s="5" t="inlineStr">
        <x:is>
          <x:t xml:space="preserve">Production</x:t>
        </x:is>
      </x:c>
      <x:c r="B13" s="5" t="inlineStr">
        <x:is>
          <x:t xml:space="preserve">Germination Engine (Microgreens)</x:t>
        </x:is>
      </x:c>
      <x:c r="C13" s="5" t="inlineStr">
        <x:is>
          <x:t xml:space="preserve">Irrigation &amp; Equipment</x:t>
        </x:is>
      </x:c>
      <x:c r="D13" s="5" t="inlineStr">
        <x:is>
          <x:t xml:space="preserve">PPE + sanitation tote</x:t>
        </x:is>
      </x:c>
      <x:c r="E13" s="5" t="inlineStr">
        <x:is>
          <x:t xml:space="preserve">Food-safe workflow kit</x:t>
        </x:is>
      </x:c>
      <x:c r="F13" s="12" t="n">
        <x:v>1</x:v>
      </x:c>
      <x:c r="G13" s="10" t="inlineStr">
        <x:is>
          <x:t xml:space="preserve">set</x:t>
        </x:is>
      </x:c>
      <x:c r="H13" s="5" t="inlineStr">
        <x:is>
          <x:t xml:space="preserve">Food-safety</x:t>
        </x:is>
      </x:c>
      <x:c r="I13" s="10" t="inlineStr">
        <x:is>
          <x:t xml:space="preserve">MV</x:t>
        </x:is>
      </x:c>
      <x:c r="J13" s="11" t="inlineStr">
        <x:is>
          <x:t xml:space="preserve"/>
        </x:is>
      </x:c>
      <x:c r="K13" s="6">
        <x:f>IF(AND(ISNUMBER(F13),ISNUMBER(J13)),F13*J13,"")</x:f>
      </x:c>
      <x:c r="L13" s="5" t="inlineStr">
        <x:is>
          <x:t xml:space="preserve"/>
        </x:is>
      </x:c>
    </x:row>
    <x:row r="14" ht="42" customHeight="1">
      <x:c r="A14" s="5" t="inlineStr">
        <x:is>
          <x:t xml:space="preserve">Production</x:t>
        </x:is>
      </x:c>
      <x:c r="B14" s="5" t="inlineStr">
        <x:is>
          <x:t xml:space="preserve">Germination Engine (Microgreens)</x:t>
        </x:is>
      </x:c>
      <x:c r="C14" s="5" t="inlineStr">
        <x:is>
          <x:t xml:space="preserve">Irrigation &amp; Equipment</x:t>
        </x:is>
      </x:c>
      <x:c r="D14" s="5" t="inlineStr">
        <x:is>
          <x:t xml:space="preserve">Digital pH/EC meter</x:t>
        </x:is>
      </x:c>
      <x:c r="E14" s="5" t="inlineStr">
        <x:is>
          <x:t xml:space="preserve">Water quality checks</x:t>
        </x:is>
      </x:c>
      <x:c r="F14" s="12" t="n">
        <x:v>1</x:v>
      </x:c>
      <x:c r="G14" s="10" t="inlineStr">
        <x:is>
          <x:t xml:space="preserve">ea</x:t>
        </x:is>
      </x:c>
      <x:c r="H14" s="5" t="inlineStr">
        <x:is>
          <x:t xml:space="preserve">Controls/Electrical</x:t>
        </x:is>
      </x:c>
      <x:c r="I14" s="10" t="inlineStr">
        <x:is>
          <x:t xml:space="preserve">MV</x:t>
        </x:is>
      </x:c>
      <x:c r="J14" s="11" t="inlineStr">
        <x:is>
          <x:t xml:space="preserve"/>
        </x:is>
      </x:c>
      <x:c r="K14" s="6">
        <x:f>IF(AND(ISNUMBER(F14),ISNUMBER(J14)),F14*J14,"")</x:f>
      </x:c>
      <x:c r="L14" s="5" t="inlineStr">
        <x:is>
          <x:t xml:space="preserve"/>
        </x:is>
      </x:c>
    </x:row>
    <x:row r="15" ht="42" customHeight="1">
      <x:c r="A15" s="5" t="inlineStr">
        <x:is>
          <x:t xml:space="preserve">Production</x:t>
        </x:is>
      </x:c>
      <x:c r="B15" s="5" t="inlineStr">
        <x:is>
          <x:t xml:space="preserve">Operator + Harvest Module</x:t>
        </x:is>
      </x:c>
      <x:c r="C15" s="5" t="inlineStr">
        <x:is>
          <x:t xml:space="preserve">Fixtures &amp; Stations</x:t>
        </x:is>
      </x:c>
      <x:c r="D15" s="5" t="inlineStr">
        <x:is>
          <x:t xml:space="preserve">NSF handwash sink + faucet</x:t>
        </x:is>
      </x:c>
      <x:c r="E15" s="5" t="inlineStr">
        <x:is>
          <x:t xml:space="preserve">Hot/cold; code compliant</x:t>
        </x:is>
      </x:c>
      <x:c r="F15" s="12" t="n">
        <x:v>1</x:v>
      </x:c>
      <x:c r="G15" s="10" t="inlineStr">
        <x:is>
          <x:t xml:space="preserve">ea</x:t>
        </x:is>
      </x:c>
      <x:c r="H15" s="5" t="inlineStr">
        <x:is>
          <x:t xml:space="preserve">Plumbing</x:t>
        </x:is>
      </x:c>
      <x:c r="I15" s="10" t="inlineStr">
        <x:is>
          <x:t xml:space="preserve">MV</x:t>
        </x:is>
      </x:c>
      <x:c r="J15" s="11" t="inlineStr">
        <x:is>
          <x:t xml:space="preserve"/>
        </x:is>
      </x:c>
      <x:c r="K15" s="6">
        <x:f>IF(AND(ISNUMBER(F15),ISNUMBER(J15)),F15*J15,"")</x:f>
      </x:c>
      <x:c r="L15" s="5" t="inlineStr">
        <x:is>
          <x:t xml:space="preserve"/>
        </x:is>
      </x:c>
    </x:row>
    <x:row r="16" ht="42" customHeight="1">
      <x:c r="A16" s="5" t="inlineStr">
        <x:is>
          <x:t xml:space="preserve">Production</x:t>
        </x:is>
      </x:c>
      <x:c r="B16" s="5" t="inlineStr">
        <x:is>
          <x:t xml:space="preserve">Operator + Harvest Module</x:t>
        </x:is>
      </x:c>
      <x:c r="C16" s="5" t="inlineStr">
        <x:is>
          <x:t xml:space="preserve">Fixtures &amp; Stations</x:t>
        </x:is>
      </x:c>
      <x:c r="D16" s="5" t="inlineStr">
        <x:is>
          <x:t xml:space="preserve">Hose bib / spray nozzle</x:t>
        </x:is>
      </x:c>
      <x:c r="E16" s="5" t="inlineStr">
        <x:is>
          <x:t xml:space="preserve">Washdown / tools</x:t>
        </x:is>
      </x:c>
      <x:c r="F16" s="12" t="n">
        <x:v>1</x:v>
      </x:c>
      <x:c r="G16" s="10" t="inlineStr">
        <x:is>
          <x:t xml:space="preserve">set</x:t>
        </x:is>
      </x:c>
      <x:c r="H16" s="5" t="inlineStr">
        <x:is>
          <x:t xml:space="preserve">Plumbing</x:t>
        </x:is>
      </x:c>
      <x:c r="I16" s="10" t="inlineStr">
        <x:is>
          <x:t xml:space="preserve">MV</x:t>
        </x:is>
      </x:c>
      <x:c r="J16" s="11" t="inlineStr">
        <x:is>
          <x:t xml:space="preserve"/>
        </x:is>
      </x:c>
      <x:c r="K16" s="6">
        <x:f>IF(AND(ISNUMBER(F16),ISNUMBER(J16)),F16*J16,"")</x:f>
      </x:c>
      <x:c r="L16" s="5" t="inlineStr">
        <x:is>
          <x:t xml:space="preserve"/>
        </x:is>
      </x:c>
    </x:row>
    <x:row r="17" ht="42" customHeight="1">
      <x:c r="A17" s="5" t="inlineStr">
        <x:is>
          <x:t xml:space="preserve">Production</x:t>
        </x:is>
      </x:c>
      <x:c r="B17" s="5" t="inlineStr">
        <x:is>
          <x:t xml:space="preserve">Operator + Harvest Module</x:t>
        </x:is>
      </x:c>
      <x:c r="C17" s="5" t="inlineStr">
        <x:is>
          <x:t xml:space="preserve">Fixtures &amp; Stations</x:t>
        </x:is>
      </x:c>
      <x:c r="D17" s="5" t="inlineStr">
        <x:is>
          <x:t xml:space="preserve">Workbench / prep table</x:t>
        </x:is>
      </x:c>
      <x:c r="E17" s="5" t="inlineStr">
        <x:is>
          <x:t xml:space="preserve">Harvest station</x:t>
        </x:is>
      </x:c>
      <x:c r="F17" s="12" t="n">
        <x:v>1</x:v>
      </x:c>
      <x:c r="G17" s="10" t="inlineStr">
        <x:is>
          <x:t xml:space="preserve">ea</x:t>
        </x:is>
      </x:c>
      <x:c r="H17" s="5" t="inlineStr">
        <x:is>
          <x:t xml:space="preserve">Structural</x:t>
        </x:is>
      </x:c>
      <x:c r="I17" s="10" t="inlineStr">
        <x:is>
          <x:t xml:space="preserve">MV</x:t>
        </x:is>
      </x:c>
      <x:c r="J17" s="11" t="inlineStr">
        <x:is>
          <x:t xml:space="preserve"/>
        </x:is>
      </x:c>
      <x:c r="K17" s="6">
        <x:f>IF(AND(ISNUMBER(F17),ISNUMBER(J17)),F17*J17,"")</x:f>
      </x:c>
      <x:c r="L17" s="5" t="inlineStr">
        <x:is>
          <x:t xml:space="preserve"/>
        </x:is>
      </x:c>
    </x:row>
    <x:row r="18" ht="42" customHeight="1">
      <x:c r="A18" s="5" t="inlineStr">
        <x:is>
          <x:t xml:space="preserve">Production</x:t>
        </x:is>
      </x:c>
      <x:c r="B18" s="5" t="inlineStr">
        <x:is>
          <x:t xml:space="preserve">Operator + Harvest Module</x:t>
        </x:is>
      </x:c>
      <x:c r="C18" s="5" t="inlineStr">
        <x:is>
          <x:t xml:space="preserve">Fixtures &amp; Stations</x:t>
        </x:is>
      </x:c>
      <x:c r="D18" s="5" t="inlineStr">
        <x:is>
          <x:t xml:space="preserve">Sanitizer station</x:t>
        </x:is>
      </x:c>
      <x:c r="E18" s="5" t="inlineStr">
        <x:is>
          <x:t xml:space="preserve">Food safety</x:t>
        </x:is>
      </x:c>
      <x:c r="F18" s="12" t="n">
        <x:v>1</x:v>
      </x:c>
      <x:c r="G18" s="10" t="inlineStr">
        <x:is>
          <x:t xml:space="preserve">ea</x:t>
        </x:is>
      </x:c>
      <x:c r="H18" s="5" t="inlineStr">
        <x:is>
          <x:t xml:space="preserve">Food-safety</x:t>
        </x:is>
      </x:c>
      <x:c r="I18" s="10" t="inlineStr">
        <x:is>
          <x:t xml:space="preserve">MV</x:t>
        </x:is>
      </x:c>
      <x:c r="J18" s="11" t="inlineStr">
        <x:is>
          <x:t xml:space="preserve"/>
        </x:is>
      </x:c>
      <x:c r="K18" s="6">
        <x:f>IF(AND(ISNUMBER(F18),ISNUMBER(J18)),F18*J18,"")</x:f>
      </x:c>
      <x:c r="L18" s="5" t="inlineStr">
        <x:is>
          <x:t xml:space="preserve"/>
        </x:is>
      </x:c>
    </x:row>
    <x:row r="19" ht="42" customHeight="1">
      <x:c r="A19" s="5" t="inlineStr">
        <x:is>
          <x:t xml:space="preserve">Production</x:t>
        </x:is>
      </x:c>
      <x:c r="B19" s="5" t="inlineStr">
        <x:is>
          <x:t xml:space="preserve">Operator + Harvest Module</x:t>
        </x:is>
      </x:c>
      <x:c r="C19" s="5" t="inlineStr">
        <x:is>
          <x:t xml:space="preserve">Fixtures &amp; Stations</x:t>
        </x:is>
      </x:c>
      <x:c r="D19" s="5" t="inlineStr">
        <x:is>
          <x:t xml:space="preserve">Floor drain + trap</x:t>
        </x:is>
      </x:c>
      <x:c r="E19" s="5" t="inlineStr">
        <x:is>
          <x:t xml:space="preserve">Drain to Head 2</x:t>
        </x:is>
      </x:c>
      <x:c r="F19" s="12" t="n">
        <x:v>1</x:v>
      </x:c>
      <x:c r="G19" s="10" t="inlineStr">
        <x:is>
          <x:t xml:space="preserve">set</x:t>
        </x:is>
      </x:c>
      <x:c r="H19" s="5" t="inlineStr">
        <x:is>
          <x:t xml:space="preserve">Plumbing</x:t>
        </x:is>
      </x:c>
      <x:c r="I19" s="10" t="inlineStr">
        <x:is>
          <x:t xml:space="preserve">MV</x:t>
        </x:is>
      </x:c>
      <x:c r="J19" s="11" t="inlineStr">
        <x:is>
          <x:t xml:space="preserve"/>
        </x:is>
      </x:c>
      <x:c r="K19" s="6">
        <x:f>IF(AND(ISNUMBER(F19),ISNUMBER(J19)),F19*J19,"")</x:f>
      </x:c>
      <x:c r="L19" s="5" t="inlineStr">
        <x:is>
          <x:t xml:space="preserve"/>
        </x:is>
      </x:c>
    </x:row>
    <x:row r="20" ht="42" customHeight="1">
      <x:c r="A20" s="5" t="inlineStr">
        <x:is>
          <x:t xml:space="preserve">Production</x:t>
        </x:is>
      </x:c>
      <x:c r="B20" s="5" t="inlineStr">
        <x:is>
          <x:t xml:space="preserve">Operator + Harvest Module</x:t>
        </x:is>
      </x:c>
      <x:c r="C20" s="5" t="inlineStr">
        <x:is>
          <x:t xml:space="preserve">Fixtures &amp; Stations</x:t>
        </x:is>
      </x:c>
      <x:c r="D20" s="5" t="inlineStr">
        <x:is>
          <x:t xml:space="preserve">Task lighting</x:t>
        </x:is>
      </x:c>
      <x:c r="E20" s="5" t="inlineStr">
        <x:is>
          <x:t xml:space="preserve">Harvest visibility</x:t>
        </x:is>
      </x:c>
      <x:c r="F20" s="12" t="n">
        <x:v>1</x:v>
      </x:c>
      <x:c r="G20" s="10" t="inlineStr">
        <x:is>
          <x:t xml:space="preserve">set</x:t>
        </x:is>
      </x:c>
      <x:c r="H20" s="5" t="inlineStr">
        <x:is>
          <x:t xml:space="preserve">Electrical</x:t>
        </x:is>
      </x:c>
      <x:c r="I20" s="10" t="inlineStr">
        <x:is>
          <x:t xml:space="preserve">MV</x:t>
        </x:is>
      </x:c>
      <x:c r="J20" s="11" t="inlineStr">
        <x:is>
          <x:t xml:space="preserve"/>
        </x:is>
      </x:c>
      <x:c r="K20" s="6">
        <x:f>IF(AND(ISNUMBER(F20),ISNUMBER(J20)),F20*J20,"")</x:f>
      </x:c>
      <x:c r="L20" s="5" t="inlineStr">
        <x:is>
          <x:t xml:space="preserve"/>
        </x:is>
      </x:c>
    </x:row>
    <x:row r="21" ht="42" customHeight="1">
      <x:c r="A21" s="5" t="inlineStr">
        <x:is>
          <x:t xml:space="preserve">Production</x:t>
        </x:is>
      </x:c>
      <x:c r="B21" s="5" t="inlineStr">
        <x:is>
          <x:t xml:space="preserve">Operator + Harvest Module</x:t>
        </x:is>
      </x:c>
      <x:c r="C21" s="5" t="inlineStr">
        <x:is>
          <x:t xml:space="preserve">Fixtures &amp; Stations</x:t>
        </x:is>
      </x:c>
      <x:c r="D21" s="5" t="inlineStr">
        <x:is>
          <x:t xml:space="preserve">Cooler / refrigeration unit (if included)</x:t>
        </x:is>
      </x:c>
      <x:c r="E21" s="5" t="inlineStr">
        <x:is>
          <x:t xml:space="preserve">Cold chain module</x:t>
        </x:is>
      </x:c>
      <x:c r="F21" s="12" t="n">
        <x:v>1</x:v>
      </x:c>
      <x:c r="G21" s="10" t="inlineStr">
        <x:is>
          <x:t xml:space="preserve">ea</x:t>
        </x:is>
      </x:c>
      <x:c r="H21" s="5" t="inlineStr">
        <x:is>
          <x:t xml:space="preserve">HVAC</x:t>
        </x:is>
      </x:c>
      <x:c r="I21" s="10" t="inlineStr">
        <x:is>
          <x:t xml:space="preserve">MV</x:t>
        </x:is>
      </x:c>
      <x:c r="J21" s="11" t="inlineStr">
        <x:is>
          <x:t xml:space="preserve"/>
        </x:is>
      </x:c>
      <x:c r="K21" s="6">
        <x:f>IF(AND(ISNUMBER(F21),ISNUMBER(J21)),F21*J21,"")</x:f>
      </x:c>
      <x:c r="L21" s="5" t="inlineStr">
        <x:is>
          <x:t xml:space="preserve"/>
        </x:is>
      </x:c>
    </x:row>
    <x:row r="22" ht="42" customHeight="1">
      <x:c r="A22" s="5" t="inlineStr">
        <x:is>
          <x:t xml:space="preserve">Production</x:t>
        </x:is>
      </x:c>
      <x:c r="B22" s="5" t="inlineStr">
        <x:is>
          <x:t xml:space="preserve">Controls &amp; Networking</x:t>
        </x:is>
      </x:c>
      <x:c r="C22" s="5" t="inlineStr">
        <x:is>
          <x:t xml:space="preserve">Controls</x:t>
        </x:is>
      </x:c>
      <x:c r="D22" s="5" t="inlineStr">
        <x:is>
          <x:t xml:space="preserve">PLC / edge controller</x:t>
        </x:is>
      </x:c>
      <x:c r="E22" s="5" t="inlineStr">
        <x:is>
          <x:t xml:space="preserve">Local deterministic control; export telemetry</x:t>
        </x:is>
      </x:c>
      <x:c r="F22" s="10" t="inlineStr">
        <x:is>
          <x:t xml:space="preserve"/>
        </x:is>
      </x:c>
      <x:c r="G22" s="10" t="inlineStr">
        <x:is>
          <x:t xml:space="preserve"/>
        </x:is>
      </x:c>
      <x:c r="H22" s="5" t="inlineStr">
        <x:is>
          <x:t xml:space="preserve">Controls/Electrical</x:t>
        </x:is>
      </x:c>
      <x:c r="I22" s="10" t="inlineStr">
        <x:is>
          <x:t xml:space="preserve">MV</x:t>
        </x:is>
      </x:c>
      <x:c r="J22" s="11" t="inlineStr">
        <x:is>
          <x:t xml:space="preserve"/>
        </x:is>
      </x:c>
      <x:c r="K22" s="6">
        <x:f>IF(AND(ISNUMBER(F22),ISNUMBER(J22)),F22*J22,"")</x:f>
      </x:c>
      <x:c r="L22" s="5" t="inlineStr">
        <x:is>
          <x:t xml:space="preserve"/>
        </x:is>
      </x:c>
    </x:row>
    <x:row r="23" ht="42" customHeight="1">
      <x:c r="A23" s="5" t="inlineStr">
        <x:is>
          <x:t xml:space="preserve">Production</x:t>
        </x:is>
      </x:c>
      <x:c r="B23" s="5" t="inlineStr">
        <x:is>
          <x:t xml:space="preserve">Controls &amp; Networking</x:t>
        </x:is>
      </x:c>
      <x:c r="C23" s="5" t="inlineStr">
        <x:is>
          <x:t xml:space="preserve">Controls</x:t>
        </x:is>
      </x:c>
      <x:c r="D23" s="5" t="inlineStr">
        <x:is>
          <x:t xml:space="preserve">I/O modules</x:t>
        </x:is>
      </x:c>
      <x:c r="E23" s="5" t="inlineStr">
        <x:is>
          <x:t xml:space="preserve">Sensor + actuator interfacing</x:t>
        </x:is>
      </x:c>
      <x:c r="F23" s="10" t="inlineStr">
        <x:is>
          <x:t xml:space="preserve"/>
        </x:is>
      </x:c>
      <x:c r="G23" s="10" t="inlineStr">
        <x:is>
          <x:t xml:space="preserve"/>
        </x:is>
      </x:c>
      <x:c r="H23" s="5" t="inlineStr">
        <x:is>
          <x:t xml:space="preserve">Controls/Electrical</x:t>
        </x:is>
      </x:c>
      <x:c r="I23" s="10" t="inlineStr">
        <x:is>
          <x:t xml:space="preserve">MV</x:t>
        </x:is>
      </x:c>
      <x:c r="J23" s="11" t="inlineStr">
        <x:is>
          <x:t xml:space="preserve"/>
        </x:is>
      </x:c>
      <x:c r="K23" s="6">
        <x:f>IF(AND(ISNUMBER(F23),ISNUMBER(J23)),F23*J23,"")</x:f>
      </x:c>
      <x:c r="L23" s="5" t="inlineStr">
        <x:is>
          <x:t xml:space="preserve"/>
        </x:is>
      </x:c>
    </x:row>
    <x:row r="24" ht="42" customHeight="1">
      <x:c r="A24" s="5" t="inlineStr">
        <x:is>
          <x:t xml:space="preserve">Production</x:t>
        </x:is>
      </x:c>
      <x:c r="B24" s="5" t="inlineStr">
        <x:is>
          <x:t xml:space="preserve">Controls &amp; Networking</x:t>
        </x:is>
      </x:c>
      <x:c r="C24" s="5" t="inlineStr">
        <x:is>
          <x:t xml:space="preserve">Controls</x:t>
        </x:is>
      </x:c>
      <x:c r="D24" s="5" t="inlineStr">
        <x:is>
          <x:t xml:space="preserve">Gateway / data layer</x:t>
        </x:is>
      </x:c>
      <x:c r="E24" s="5" t="inlineStr">
        <x:is>
          <x:t xml:space="preserve">MQTT/OPC-UA; local buffer DB</x:t>
        </x:is>
      </x:c>
      <x:c r="F24" s="10" t="inlineStr">
        <x:is>
          <x:t xml:space="preserve"/>
        </x:is>
      </x:c>
      <x:c r="G24" s="10" t="inlineStr">
        <x:is>
          <x:t xml:space="preserve"/>
        </x:is>
      </x:c>
      <x:c r="H24" s="5" t="inlineStr">
        <x:is>
          <x:t xml:space="preserve">Controls/Electrical</x:t>
        </x:is>
      </x:c>
      <x:c r="I24" s="10" t="inlineStr">
        <x:is>
          <x:t xml:space="preserve">MV</x:t>
        </x:is>
      </x:c>
      <x:c r="J24" s="11" t="inlineStr">
        <x:is>
          <x:t xml:space="preserve"/>
        </x:is>
      </x:c>
      <x:c r="K24" s="6">
        <x:f>IF(AND(ISNUMBER(F24),ISNUMBER(J24)),F24*J24,"")</x:f>
      </x:c>
      <x:c r="L24" s="5" t="inlineStr">
        <x:is>
          <x:t xml:space="preserve"/>
        </x:is>
      </x:c>
    </x:row>
    <x:row r="25" ht="42" customHeight="1">
      <x:c r="A25" s="5" t="inlineStr">
        <x:is>
          <x:t xml:space="preserve">Production</x:t>
        </x:is>
      </x:c>
      <x:c r="B25" s="5" t="inlineStr">
        <x:is>
          <x:t xml:space="preserve">Controls &amp; Networking</x:t>
        </x:is>
      </x:c>
      <x:c r="C25" s="5" t="inlineStr">
        <x:is>
          <x:t xml:space="preserve">Controls</x:t>
        </x:is>
      </x:c>
      <x:c r="D25" s="5" t="inlineStr">
        <x:is>
          <x:t xml:space="preserve">Network gear (switch/router/Wi‑Fi)</x:t>
        </x:is>
      </x:c>
      <x:c r="E25" s="5" t="inlineStr">
        <x:is>
          <x:t xml:space="preserve">Ruggedized as needed</x:t>
        </x:is>
      </x:c>
      <x:c r="F25" s="10" t="inlineStr">
        <x:is>
          <x:t xml:space="preserve"/>
        </x:is>
      </x:c>
      <x:c r="G25" s="10" t="inlineStr">
        <x:is>
          <x:t xml:space="preserve"/>
        </x:is>
      </x:c>
      <x:c r="H25" s="5" t="inlineStr">
        <x:is>
          <x:t xml:space="preserve">Controls/Electrical</x:t>
        </x:is>
      </x:c>
      <x:c r="I25" s="10" t="inlineStr">
        <x:is>
          <x:t xml:space="preserve">MV</x:t>
        </x:is>
      </x:c>
      <x:c r="J25" s="11" t="inlineStr">
        <x:is>
          <x:t xml:space="preserve"/>
        </x:is>
      </x:c>
      <x:c r="K25" s="6">
        <x:f>IF(AND(ISNUMBER(F25),ISNUMBER(J25)),F25*J25,"")</x:f>
      </x:c>
      <x:c r="L25" s="5" t="inlineStr">
        <x:is>
          <x:t xml:space="preserve"/>
        </x:is>
      </x:c>
    </x:row>
    <x:row r="26" ht="42" customHeight="1">
      <x:c r="A26" s="5" t="inlineStr">
        <x:is>
          <x:t xml:space="preserve">Production</x:t>
        </x:is>
      </x:c>
      <x:c r="B26" s="5" t="inlineStr">
        <x:is>
          <x:t xml:space="preserve">Controls &amp; Networking</x:t>
        </x:is>
      </x:c>
      <x:c r="C26" s="5" t="inlineStr">
        <x:is>
          <x:t xml:space="preserve">Controls</x:t>
        </x:is>
      </x:c>
      <x:c r="D26" s="5" t="inlineStr">
        <x:is>
          <x:t xml:space="preserve">HMI tablet / panel</x:t>
        </x:is>
      </x:c>
      <x:c r="E26" s="5" t="inlineStr">
        <x:is>
          <x:t xml:space="preserve">Local interface for operators</x:t>
        </x:is>
      </x:c>
      <x:c r="F26" s="10" t="inlineStr">
        <x:is>
          <x:t xml:space="preserve"/>
        </x:is>
      </x:c>
      <x:c r="G26" s="10" t="inlineStr">
        <x:is>
          <x:t xml:space="preserve"/>
        </x:is>
      </x:c>
      <x:c r="H26" s="5" t="inlineStr">
        <x:is>
          <x:t xml:space="preserve">Controls/Electrical</x:t>
        </x:is>
      </x:c>
      <x:c r="I26" s="10" t="inlineStr">
        <x:is>
          <x:t xml:space="preserve">MV</x:t>
        </x:is>
      </x:c>
      <x:c r="J26" s="11" t="inlineStr">
        <x:is>
          <x:t xml:space="preserve"/>
        </x:is>
      </x:c>
      <x:c r="K26" s="6">
        <x:f>IF(AND(ISNUMBER(F26),ISNUMBER(J26)),F26*J26,"")</x:f>
      </x:c>
      <x:c r="L26" s="5" t="inlineStr">
        <x:is>
          <x:t xml:space="preserve"/>
        </x:is>
      </x:c>
    </x:row>
    <x:row r="27" ht="42" customHeight="1">
      <x:c r="A27" s="5" t="inlineStr">
        <x:is>
          <x:t xml:space="preserve">Production</x:t>
        </x:is>
      </x:c>
      <x:c r="B27" s="5" t="inlineStr">
        <x:is>
          <x:t xml:space="preserve">Operator Cabin (Utilities)</x:t>
        </x:is>
      </x:c>
      <x:c r="C27" s="5" t="inlineStr">
        <x:is>
          <x:t xml:space="preserve">Utilities</x:t>
        </x:is>
      </x:c>
      <x:c r="D27" s="5" t="inlineStr">
        <x:is>
          <x:t xml:space="preserve">Marine filtration system</x:t>
        </x:is>
      </x:c>
      <x:c r="E27" s="5" t="inlineStr">
        <x:is>
          <x:t xml:space="preserve">Optional additional filtration stage</x:t>
        </x:is>
      </x:c>
      <x:c r="F27" s="12" t="n">
        <x:v>1</x:v>
      </x:c>
      <x:c r="G27" s="10" t="inlineStr">
        <x:is>
          <x:t xml:space="preserve">ea</x:t>
        </x:is>
      </x:c>
      <x:c r="H27" s="5" t="inlineStr">
        <x:is>
          <x:t xml:space="preserve">Plumbing</x:t>
        </x:is>
      </x:c>
      <x:c r="I27" s="10" t="inlineStr">
        <x:is>
          <x:t xml:space="preserve">MV</x:t>
        </x:is>
      </x:c>
      <x:c r="J27" s="11" t="inlineStr">
        <x:is>
          <x:t xml:space="preserve"/>
        </x:is>
      </x:c>
      <x:c r="K27" s="6">
        <x:f>IF(AND(ISNUMBER(F27),ISNUMBER(J27)),F27*J27,"")</x:f>
      </x:c>
      <x:c r="L27" s="5" t="inlineStr">
        <x:is>
          <x:t xml:space="preserve"/>
        </x:is>
      </x:c>
    </x:row>
    <x:row r="28" ht="42" customHeight="1">
      <x:c r="A28" s="5" t="inlineStr">
        <x:is>
          <x:t xml:space="preserve">Production</x:t>
        </x:is>
      </x:c>
      <x:c r="B28" s="5" t="inlineStr">
        <x:is>
          <x:t xml:space="preserve">Operator Cabin (Utilities)</x:t>
        </x:is>
      </x:c>
      <x:c r="C28" s="5" t="inlineStr">
        <x:is>
          <x:t xml:space="preserve">Utilities</x:t>
        </x:is>
      </x:c>
      <x:c r="D28" s="5" t="inlineStr">
        <x:is>
          <x:t xml:space="preserve">20-gal potable buffer tank</x:t>
        </x:is>
      </x:c>
      <x:c r="E28" s="5" t="inlineStr">
        <x:is>
          <x:t xml:space="preserve">Clean buffer</x:t>
        </x:is>
      </x:c>
      <x:c r="F28" s="12" t="n">
        <x:v>1</x:v>
      </x:c>
      <x:c r="G28" s="10" t="inlineStr">
        <x:is>
          <x:t xml:space="preserve">ea</x:t>
        </x:is>
      </x:c>
      <x:c r="H28" s="5" t="inlineStr">
        <x:is>
          <x:t xml:space="preserve">Plumbing</x:t>
        </x:is>
      </x:c>
      <x:c r="I28" s="10" t="inlineStr">
        <x:is>
          <x:t xml:space="preserve">MV</x:t>
        </x:is>
      </x:c>
      <x:c r="J28" s="11" t="inlineStr">
        <x:is>
          <x:t xml:space="preserve"/>
        </x:is>
      </x:c>
      <x:c r="K28" s="6">
        <x:f>IF(AND(ISNUMBER(F28),ISNUMBER(J28)),F28*J28,"")</x:f>
      </x:c>
      <x:c r="L28" s="5" t="inlineStr">
        <x:is>
          <x:t xml:space="preserve"/>
        </x:is>
      </x:c>
    </x:row>
    <x:row r="29" ht="42" customHeight="1">
      <x:c r="A29" s="5" t="inlineStr">
        <x:is>
          <x:t xml:space="preserve">Production</x:t>
        </x:is>
      </x:c>
      <x:c r="B29" s="5" t="inlineStr">
        <x:is>
          <x:t xml:space="preserve">Operator Cabin (Utilities)</x:t>
        </x:is>
      </x:c>
      <x:c r="C29" s="5" t="inlineStr">
        <x:is>
          <x:t xml:space="preserve">Utilities</x:t>
        </x:is>
      </x:c>
      <x:c r="D29" s="5" t="inlineStr">
        <x:is>
          <x:t xml:space="preserve">Elevated bladder(s)</x:t>
        </x:is>
      </x:c>
      <x:c r="E29" s="5" t="inlineStr">
        <x:is>
          <x:t xml:space="preserve">Gravity reference head(s)</x:t>
        </x:is>
      </x:c>
      <x:c r="F29" s="12" t="n">
        <x:v>1</x:v>
      </x:c>
      <x:c r="G29" s="10" t="inlineStr">
        <x:is>
          <x:t xml:space="preserve">set</x:t>
        </x:is>
      </x:c>
      <x:c r="H29" s="5" t="inlineStr">
        <x:is>
          <x:t xml:space="preserve">Plumbing</x:t>
        </x:is>
      </x:c>
      <x:c r="I29" s="10" t="inlineStr">
        <x:is>
          <x:t xml:space="preserve">MV</x:t>
        </x:is>
      </x:c>
      <x:c r="J29" s="11" t="inlineStr">
        <x:is>
          <x:t xml:space="preserve"/>
        </x:is>
      </x:c>
      <x:c r="K29" s="6">
        <x:f>IF(AND(ISNUMBER(F29),ISNUMBER(J29)),F29*J29,"")</x:f>
      </x:c>
      <x:c r="L29" s="5" t="inlineStr">
        <x:is>
          <x:t xml:space="preserve"/>
        </x:is>
      </x:c>
    </x:row>
    <x:row r="30" ht="42" customHeight="1">
      <x:c r="A30" s="5" t="inlineStr">
        <x:is>
          <x:t xml:space="preserve">Production</x:t>
        </x:is>
      </x:c>
      <x:c r="B30" s="5" t="inlineStr">
        <x:is>
          <x:t xml:space="preserve">Operator Cabin (Utilities)</x:t>
        </x:is>
      </x:c>
      <x:c r="C30" s="5" t="inlineStr">
        <x:is>
          <x:t xml:space="preserve">Utilities</x:t>
        </x:is>
      </x:c>
      <x:c r="D30" s="5" t="inlineStr">
        <x:is>
          <x:t xml:space="preserve">Solar PV kit (1–2 kW)</x:t>
        </x:is>
      </x:c>
      <x:c r="E30" s="5" t="inlineStr">
        <x:is>
          <x:t xml:space="preserve">On-site generation</x:t>
        </x:is>
      </x:c>
      <x:c r="F30" s="12" t="n">
        <x:v>1</x:v>
      </x:c>
      <x:c r="G30" s="10" t="inlineStr">
        <x:is>
          <x:t xml:space="preserve">set</x:t>
        </x:is>
      </x:c>
      <x:c r="H30" s="5" t="inlineStr">
        <x:is>
          <x:t xml:space="preserve">Solar/Thermal</x:t>
        </x:is>
      </x:c>
      <x:c r="I30" s="10" t="inlineStr">
        <x:is>
          <x:t xml:space="preserve">MV</x:t>
        </x:is>
      </x:c>
      <x:c r="J30" s="11" t="inlineStr">
        <x:is>
          <x:t xml:space="preserve"/>
        </x:is>
      </x:c>
      <x:c r="K30" s="6">
        <x:f>IF(AND(ISNUMBER(F30),ISNUMBER(J30)),F30*J30,"")</x:f>
      </x:c>
      <x:c r="L30" s="5" t="inlineStr">
        <x:is>
          <x:t xml:space="preserve"/>
        </x:is>
      </x:c>
    </x:row>
    <x:row r="31" ht="42" customHeight="1">
      <x:c r="A31" s="5" t="inlineStr">
        <x:is>
          <x:t xml:space="preserve">Production</x:t>
        </x:is>
      </x:c>
      <x:c r="B31" s="5" t="inlineStr">
        <x:is>
          <x:t xml:space="preserve">Operator Cabin (Utilities)</x:t>
        </x:is>
      </x:c>
      <x:c r="C31" s="5" t="inlineStr">
        <x:is>
          <x:t xml:space="preserve">Utilities</x:t>
        </x:is>
      </x:c>
      <x:c r="D31" s="5" t="inlineStr">
        <x:is>
          <x:t xml:space="preserve">Battery + inverter</x:t>
        </x:is>
      </x:c>
      <x:c r="E31" s="5" t="inlineStr">
        <x:is>
          <x:t xml:space="preserve">Critical loads buffer</x:t>
        </x:is>
      </x:c>
      <x:c r="F31" s="12" t="n">
        <x:v>1</x:v>
      </x:c>
      <x:c r="G31" s="10" t="inlineStr">
        <x:is>
          <x:t xml:space="preserve">set</x:t>
        </x:is>
      </x:c>
      <x:c r="H31" s="5" t="inlineStr">
        <x:is>
          <x:t xml:space="preserve">Electrical</x:t>
        </x:is>
      </x:c>
      <x:c r="I31" s="10" t="inlineStr">
        <x:is>
          <x:t xml:space="preserve">MV</x:t>
        </x:is>
      </x:c>
      <x:c r="J31" s="11" t="inlineStr">
        <x:is>
          <x:t xml:space="preserve"/>
        </x:is>
      </x:c>
      <x:c r="K31" s="6">
        <x:f>IF(AND(ISNUMBER(F31),ISNUMBER(J31)),F31*J31,"")</x:f>
      </x:c>
      <x:c r="L31" s="5" t="inlineStr">
        <x:is>
          <x:t xml:space="preserve"/>
        </x:is>
      </x:c>
    </x:row>
    <x:row r="32" ht="42" customHeight="1">
      <x:c r="A32" s="5" t="inlineStr">
        <x:is>
          <x:t xml:space="preserve">Production</x:t>
        </x:is>
      </x:c>
      <x:c r="B32" s="5" t="inlineStr">
        <x:is>
          <x:t xml:space="preserve">Operator Cabin (Utilities)</x:t>
        </x:is>
      </x:c>
      <x:c r="C32" s="5" t="inlineStr">
        <x:is>
          <x:t xml:space="preserve">Utilities</x:t>
        </x:is>
      </x:c>
      <x:c r="D32" s="5" t="inlineStr">
        <x:is>
          <x:t xml:space="preserve">Laptop / dashboard interface</x:t>
        </x:is>
      </x:c>
      <x:c r="E32" s="5" t="inlineStr">
        <x:is>
          <x:t xml:space="preserve">Local dashboard</x:t>
        </x:is>
      </x:c>
      <x:c r="F32" s="12" t="n">
        <x:v>1</x:v>
      </x:c>
      <x:c r="G32" s="10" t="inlineStr">
        <x:is>
          <x:t xml:space="preserve">ea</x:t>
        </x:is>
      </x:c>
      <x:c r="H32" s="5" t="inlineStr">
        <x:is>
          <x:t xml:space="preserve">Controls/Electrical</x:t>
        </x:is>
      </x:c>
      <x:c r="I32" s="10" t="inlineStr">
        <x:is>
          <x:t xml:space="preserve">MV</x:t>
        </x:is>
      </x:c>
      <x:c r="J32" s="11" t="inlineStr">
        <x:is>
          <x:t xml:space="preserve"/>
        </x:is>
      </x:c>
      <x:c r="K32" s="6">
        <x:f>IF(AND(ISNUMBER(F32),ISNUMBER(J32)),F32*J32,"")</x:f>
      </x:c>
      <x:c r="L32" s="5" t="inlineStr">
        <x:is>
          <x:t xml:space="preserve"/>
        </x:is>
      </x:c>
    </x:row>
    <x:row r="33" ht="42" customHeight="1">
      <x:c r="A33" s="5" t="inlineStr">
        <x:is>
          <x:t xml:space="preserve">Production</x:t>
        </x:is>
      </x:c>
      <x:c r="B33" s="5" t="inlineStr">
        <x:is>
          <x:t xml:space="preserve">Operator Cabin (Utilities)</x:t>
        </x:is>
      </x:c>
      <x:c r="C33" s="5" t="inlineStr">
        <x:is>
          <x:t xml:space="preserve">Utilities</x:t>
        </x:is>
      </x:c>
      <x:c r="D33" s="5" t="inlineStr">
        <x:is>
          <x:t xml:space="preserve">Water meter</x:t>
        </x:is>
      </x:c>
      <x:c r="E33" s="5" t="inlineStr">
        <x:is>
          <x:t xml:space="preserve">Clean/dirty tracking</x:t>
        </x:is>
      </x:c>
      <x:c r="F33" s="12" t="n">
        <x:v>1</x:v>
      </x:c>
      <x:c r="G33" s="10" t="inlineStr">
        <x:is>
          <x:t xml:space="preserve">ea</x:t>
        </x:is>
      </x:c>
      <x:c r="H33" s="5" t="inlineStr">
        <x:is>
          <x:t xml:space="preserve">Plumbing</x:t>
        </x:is>
      </x:c>
      <x:c r="I33" s="10" t="inlineStr">
        <x:is>
          <x:t xml:space="preserve">MV</x:t>
        </x:is>
      </x:c>
      <x:c r="J33" s="11" t="inlineStr">
        <x:is>
          <x:t xml:space="preserve"/>
        </x:is>
      </x:c>
      <x:c r="K33" s="6">
        <x:f>IF(AND(ISNUMBER(F33),ISNUMBER(J33)),F33*J33,"")</x:f>
      </x:c>
      <x:c r="L33" s="5" t="inlineStr">
        <x:is>
          <x:t xml:space="preserve"/>
        </x:is>
      </x:c>
    </x:row>
    <x:row r="34" ht="42" customHeight="1">
      <x:c r="A34" s="5" t="inlineStr">
        <x:is>
          <x:t xml:space="preserve">Production</x:t>
        </x:is>
      </x:c>
      <x:c r="B34" s="5" t="inlineStr">
        <x:is>
          <x:t xml:space="preserve">Operator Cabin (Utilities)</x:t>
        </x:is>
      </x:c>
      <x:c r="C34" s="5" t="inlineStr">
        <x:is>
          <x:t xml:space="preserve">Utilities</x:t>
        </x:is>
      </x:c>
      <x:c r="D34" s="5" t="inlineStr">
        <x:is>
          <x:t xml:space="preserve">Power logger</x:t>
        </x:is>
      </x:c>
      <x:c r="E34" s="5" t="inlineStr">
        <x:is>
          <x:t xml:space="preserve">kWh tracking</x:t>
        </x:is>
      </x:c>
      <x:c r="F34" s="12" t="n">
        <x:v>1</x:v>
      </x:c>
      <x:c r="G34" s="10" t="inlineStr">
        <x:is>
          <x:t xml:space="preserve">ea</x:t>
        </x:is>
      </x:c>
      <x:c r="H34" s="5" t="inlineStr">
        <x:is>
          <x:t xml:space="preserve">Controls/Electrical</x:t>
        </x:is>
      </x:c>
      <x:c r="I34" s="10" t="inlineStr">
        <x:is>
          <x:t xml:space="preserve">MV</x:t>
        </x:is>
      </x:c>
      <x:c r="J34" s="11" t="inlineStr">
        <x:is>
          <x:t xml:space="preserve"/>
        </x:is>
      </x:c>
      <x:c r="K34" s="6">
        <x:f>IF(AND(ISNUMBER(F34),ISNUMBER(J34)),F34*J34,"")</x:f>
      </x:c>
      <x:c r="L34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Boundary</x:t>
        </x:is>
      </x:c>
      <x:c r="B2" s="5" t="inlineStr">
        <x:is>
          <x:t xml:space="preserve">Head 2 (Clean Gravity Handoff)</x:t>
        </x:is>
      </x:c>
      <x:c r="C2" s="5" t="inlineStr">
        <x:is>
          <x:t xml:space="preserve">Boundary Hardware</x:t>
        </x:is>
      </x:c>
      <x:c r="D2" s="5" t="inlineStr">
        <x:is>
          <x:t xml:space="preserve">Boundary tank or bladder (Head 2)</x:t>
        </x:is>
      </x:c>
      <x:c r="E2" s="5" t="inlineStr">
        <x:is>
          <x:t xml:space="preserve">Atmospheric; calm inflow; defines clean→dirty handoff</x:t>
        </x:is>
      </x:c>
      <x:c r="F2" s="10" t="inlineStr">
        <x:is>
          <x:t xml:space="preserve"/>
        </x:is>
      </x:c>
      <x:c r="G2" s="10" t="inlineStr">
        <x:is>
          <x:t xml:space="preserve"/>
        </x:is>
      </x:c>
      <x:c r="H2" s="5" t="inlineStr">
        <x:is>
          <x:t xml:space="preserve">Plumbing</x:t>
        </x:is>
      </x:c>
      <x:c r="I2" s="10" t="inlineStr">
        <x:is>
          <x:t xml:space="preserve">MV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Boundary</x:t>
        </x:is>
      </x:c>
      <x:c r="B3" s="5" t="inlineStr">
        <x:is>
          <x:t xml:space="preserve">Head 2 (Clean Gravity Handoff)</x:t>
        </x:is>
      </x:c>
      <x:c r="C3" s="5" t="inlineStr">
        <x:is>
          <x:t xml:space="preserve">Boundary Hardware</x:t>
        </x:is>
      </x:c>
      <x:c r="D3" s="5" t="inlineStr">
        <x:is>
          <x:t xml:space="preserve">Inlet diffuser / calm inlet</x:t>
        </x:is>
      </x:c>
      <x:c r="E3" s="5" t="inlineStr">
        <x:is>
          <x:t xml:space="preserve">Reduce turbulence; prevent re-aeration issues</x:t>
        </x:is>
      </x:c>
      <x:c r="F3" s="10" t="inlineStr">
        <x:is>
          <x:t xml:space="preserve"/>
        </x:is>
      </x:c>
      <x:c r="G3" s="10" t="inlineStr">
        <x:is>
          <x:t xml:space="preserve"/>
        </x:is>
      </x:c>
      <x:c r="H3" s="5" t="inlineStr">
        <x:is>
          <x:t xml:space="preserve">Plumbing</x:t>
        </x:is>
      </x:c>
      <x:c r="I3" s="10" t="inlineStr">
        <x:is>
          <x:t xml:space="preserve">MV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Boundary</x:t>
        </x:is>
      </x:c>
      <x:c r="B4" s="5" t="inlineStr">
        <x:is>
          <x:t xml:space="preserve">Head 2 (Clean Gravity Handoff)</x:t>
        </x:is>
      </x:c>
      <x:c r="C4" s="5" t="inlineStr">
        <x:is>
          <x:t xml:space="preserve">Boundary Hardware</x:t>
        </x:is>
      </x:c>
      <x:c r="D4" s="5" t="inlineStr">
        <x:is>
          <x:t xml:space="preserve">Overflow + vent</x:t>
        </x:is>
      </x:c>
      <x:c r="E4" s="5" t="inlineStr">
        <x:is>
          <x:t xml:space="preserve">Safe overflow to Head 3 or discharge</x:t>
        </x:is>
      </x:c>
      <x:c r="F4" s="10" t="inlineStr">
        <x:is>
          <x:t xml:space="preserve"/>
        </x:is>
      </x:c>
      <x:c r="G4" s="10" t="inlineStr">
        <x:is>
          <x:t xml:space="preserve"/>
        </x:is>
      </x:c>
      <x:c r="H4" s="5" t="inlineStr">
        <x:is>
          <x:t xml:space="preserve">Plumbing</x:t>
        </x:is>
      </x:c>
      <x:c r="I4" s="10" t="inlineStr">
        <x:is>
          <x:t xml:space="preserve">MV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Boundary</x:t>
        </x:is>
      </x:c>
      <x:c r="B5" s="5" t="inlineStr">
        <x:is>
          <x:t xml:space="preserve">Head 2 (Clean Gravity Handoff)</x:t>
        </x:is>
      </x:c>
      <x:c r="C5" s="5" t="inlineStr">
        <x:is>
          <x:t xml:space="preserve">Boundary Hardware</x:t>
        </x:is>
      </x:c>
      <x:c r="D5" s="5" t="inlineStr">
        <x:is>
          <x:t xml:space="preserve">Isolation valves + labels</x:t>
        </x:is>
      </x:c>
      <x:c r="E5" s="5" t="inlineStr">
        <x:is>
          <x:t xml:space="preserve">‘Clean ends here’ labeling</x:t>
        </x:is>
      </x:c>
      <x:c r="F5" s="10" t="inlineStr">
        <x:is>
          <x:t xml:space="preserve"/>
        </x:is>
      </x:c>
      <x:c r="G5" s="10" t="inlineStr">
        <x:is>
          <x:t xml:space="preserve"/>
        </x:is>
      </x:c>
      <x:c r="H5" s="5" t="inlineStr">
        <x:is>
          <x:t xml:space="preserve">Plumbing</x:t>
        </x:is>
      </x:c>
      <x:c r="I5" s="10" t="inlineStr">
        <x:is>
          <x:t xml:space="preserve">MV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Recovery &amp; Biology</x:t>
        </x:is>
      </x:c>
      <x:c r="B2" s="5" t="inlineStr">
        <x:is>
          <x:t xml:space="preserve">Science Unit (Fungi Prep)</x:t>
        </x:is>
      </x:c>
      <x:c r="C2" s="5" t="inlineStr">
        <x:is>
          <x:t xml:space="preserve">Process &amp; Utilities</x:t>
        </x:is>
      </x:c>
      <x:c r="D2" s="5" t="inlineStr">
        <x:is>
          <x:t xml:space="preserve">Steam kettle (with safety valve)</x:t>
        </x:is>
      </x:c>
      <x:c r="E2" s="5" t="inlineStr">
        <x:is>
          <x:t xml:space="preserve">Substrate processing</x:t>
        </x:is>
      </x:c>
      <x:c r="F2" s="12" t="n">
        <x:v>1</x:v>
      </x:c>
      <x:c r="G2" s="10" t="inlineStr">
        <x:is>
          <x:t xml:space="preserve">ea</x:t>
        </x:is>
      </x:c>
      <x:c r="H2" s="5" t="inlineStr">
        <x:is>
          <x:t xml:space="preserve">Electrical</x:t>
        </x:is>
      </x:c>
      <x:c r="I2" s="10" t="inlineStr">
        <x:is>
          <x:t xml:space="preserve">MV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Recovery &amp; Biology</x:t>
        </x:is>
      </x:c>
      <x:c r="B3" s="5" t="inlineStr">
        <x:is>
          <x:t xml:space="preserve">Science Unit (Fungi Prep)</x:t>
        </x:is>
      </x:c>
      <x:c r="C3" s="5" t="inlineStr">
        <x:is>
          <x:t xml:space="preserve">Process &amp; Utilities</x:t>
        </x:is>
      </x:c>
      <x:c r="D3" s="5" t="inlineStr">
        <x:is>
          <x:t xml:space="preserve">Auger for substrate transfer</x:t>
        </x:is>
      </x:c>
      <x:c r="E3" s="5" t="inlineStr">
        <x:is>
          <x:t xml:space="preserve">Material handling</x:t>
        </x:is>
      </x:c>
      <x:c r="F3" s="12" t="n">
        <x:v>1</x:v>
      </x:c>
      <x:c r="G3" s="10" t="inlineStr">
        <x:is>
          <x:t xml:space="preserve">ea</x:t>
        </x:is>
      </x:c>
      <x:c r="H3" s="5" t="inlineStr">
        <x:is>
          <x:t xml:space="preserve">Electrical</x:t>
        </x:is>
      </x:c>
      <x:c r="I3" s="10" t="inlineStr">
        <x:is>
          <x:t xml:space="preserve">MV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Recovery &amp; Biology</x:t>
        </x:is>
      </x:c>
      <x:c r="B4" s="5" t="inlineStr">
        <x:is>
          <x:t xml:space="preserve">Science Unit (Fungi Prep)</x:t>
        </x:is>
      </x:c>
      <x:c r="C4" s="5" t="inlineStr">
        <x:is>
          <x:t xml:space="preserve">Process &amp; Utilities</x:t>
        </x:is>
      </x:c>
      <x:c r="D4" s="5" t="inlineStr">
        <x:is>
          <x:t xml:space="preserve">Food-grade buckets (7 gal)</x:t>
        </x:is>
      </x:c>
      <x:c r="E4" s="5" t="inlineStr">
        <x:is>
          <x:t xml:space="preserve">Reusable; label-ready</x:t>
        </x:is>
      </x:c>
      <x:c r="F4" s="12" t="n">
        <x:v>1</x:v>
      </x:c>
      <x:c r="G4" s="10" t="inlineStr">
        <x:is>
          <x:t xml:space="preserve">lot</x:t>
        </x:is>
      </x:c>
      <x:c r="H4" s="5" t="inlineStr">
        <x:is>
          <x:t xml:space="preserve">Food-safety</x:t>
        </x:is>
      </x:c>
      <x:c r="I4" s="10" t="inlineStr">
        <x:is>
          <x:t xml:space="preserve">MV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Recovery &amp; Biology</x:t>
        </x:is>
      </x:c>
      <x:c r="B5" s="5" t="inlineStr">
        <x:is>
          <x:t xml:space="preserve">Science Unit (Fungi Prep)</x:t>
        </x:is>
      </x:c>
      <x:c r="C5" s="5" t="inlineStr">
        <x:is>
          <x:t xml:space="preserve">Process &amp; Utilities</x:t>
        </x:is>
      </x:c>
      <x:c r="D5" s="5" t="inlineStr">
        <x:is>
          <x:t xml:space="preserve">Inoculation bench / sterile hood</x:t>
        </x:is>
      </x:c>
      <x:c r="E5" s="5" t="inlineStr">
        <x:is>
          <x:t xml:space="preserve">HEPA / clean workspace</x:t>
        </x:is>
      </x:c>
      <x:c r="F5" s="12" t="n">
        <x:v>1</x:v>
      </x:c>
      <x:c r="G5" s="10" t="inlineStr">
        <x:is>
          <x:t xml:space="preserve">ea</x:t>
        </x:is>
      </x:c>
      <x:c r="H5" s="5" t="inlineStr">
        <x:is>
          <x:t xml:space="preserve">Structural</x:t>
        </x:is>
      </x:c>
      <x:c r="I5" s="10" t="inlineStr">
        <x:is>
          <x:t xml:space="preserve">MV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  <x:row r="6" ht="42" customHeight="1">
      <x:c r="A6" s="5" t="inlineStr">
        <x:is>
          <x:t xml:space="preserve">Recovery &amp; Biology</x:t>
        </x:is>
      </x:c>
      <x:c r="B6" s="5" t="inlineStr">
        <x:is>
          <x:t xml:space="preserve">Science Unit (Fungi Prep)</x:t>
        </x:is>
      </x:c>
      <x:c r="C6" s="5" t="inlineStr">
        <x:is>
          <x:t xml:space="preserve">Process &amp; Utilities</x:t>
        </x:is>
      </x:c>
      <x:c r="D6" s="5" t="inlineStr">
        <x:is>
          <x:t xml:space="preserve">Culture fridge</x:t>
        </x:is>
      </x:c>
      <x:c r="E6" s="5" t="inlineStr">
        <x:is>
          <x:t xml:space="preserve">Culture storage</x:t>
        </x:is>
      </x:c>
      <x:c r="F6" s="12" t="n">
        <x:v>1</x:v>
      </x:c>
      <x:c r="G6" s="10" t="inlineStr">
        <x:is>
          <x:t xml:space="preserve">ea</x:t>
        </x:is>
      </x:c>
      <x:c r="H6" s="5" t="inlineStr">
        <x:is>
          <x:t xml:space="preserve">Electrical</x:t>
        </x:is>
      </x:c>
      <x:c r="I6" s="10" t="inlineStr">
        <x:is>
          <x:t xml:space="preserve">MV</x:t>
        </x:is>
      </x:c>
      <x:c r="J6" s="11" t="inlineStr">
        <x:is>
          <x:t xml:space="preserve"/>
        </x:is>
      </x:c>
      <x:c r="K6" s="6">
        <x:f>IF(AND(ISNUMBER(F6),ISNUMBER(J6)),F6*J6,"")</x:f>
      </x:c>
      <x:c r="L6" s="5" t="inlineStr">
        <x:is>
          <x:t xml:space="preserve"/>
        </x:is>
      </x:c>
    </x:row>
    <x:row r="7" ht="42" customHeight="1">
      <x:c r="A7" s="5" t="inlineStr">
        <x:is>
          <x:t xml:space="preserve">Recovery &amp; Biology</x:t>
        </x:is>
      </x:c>
      <x:c r="B7" s="5" t="inlineStr">
        <x:is>
          <x:t xml:space="preserve">Science Unit (Fungi Prep)</x:t>
        </x:is>
      </x:c>
      <x:c r="C7" s="5" t="inlineStr">
        <x:is>
          <x:t xml:space="preserve">Process &amp; Utilities</x:t>
        </x:is>
      </x:c>
      <x:c r="D7" s="5" t="inlineStr">
        <x:is>
          <x:t xml:space="preserve">Cooling racks / staging</x:t>
        </x:is>
      </x:c>
      <x:c r="E7" s="5" t="inlineStr">
        <x:is>
          <x:t xml:space="preserve">Bucket cool-down</x:t>
        </x:is>
      </x:c>
      <x:c r="F7" s="12" t="n">
        <x:v>1</x:v>
      </x:c>
      <x:c r="G7" s="10" t="inlineStr">
        <x:is>
          <x:t xml:space="preserve">set</x:t>
        </x:is>
      </x:c>
      <x:c r="H7" s="5" t="inlineStr">
        <x:is>
          <x:t xml:space="preserve">Structural</x:t>
        </x:is>
      </x:c>
      <x:c r="I7" s="10" t="inlineStr">
        <x:is>
          <x:t xml:space="preserve">MV</x:t>
        </x:is>
      </x:c>
      <x:c r="J7" s="11" t="inlineStr">
        <x:is>
          <x:t xml:space="preserve"/>
        </x:is>
      </x:c>
      <x:c r="K7" s="6">
        <x:f>IF(AND(ISNUMBER(F7),ISNUMBER(J7)),F7*J7,"")</x:f>
      </x:c>
      <x:c r="L7" s="5" t="inlineStr">
        <x:is>
          <x:t xml:space="preserve"/>
        </x:is>
      </x:c>
    </x:row>
    <x:row r="8" ht="42" customHeight="1">
      <x:c r="A8" s="5" t="inlineStr">
        <x:is>
          <x:t xml:space="preserve">Recovery &amp; Biology</x:t>
        </x:is>
      </x:c>
      <x:c r="B8" s="5" t="inlineStr">
        <x:is>
          <x:t xml:space="preserve">Science Unit (Fungi Prep)</x:t>
        </x:is>
      </x:c>
      <x:c r="C8" s="5" t="inlineStr">
        <x:is>
          <x:t xml:space="preserve">Process &amp; Utilities</x:t>
        </x:is>
      </x:c>
      <x:c r="D8" s="5" t="inlineStr">
        <x:is>
          <x:t xml:space="preserve">QR label + scanner setup</x:t>
        </x:is>
      </x:c>
      <x:c r="E8" s="5" t="inlineStr">
        <x:is>
          <x:t xml:space="preserve">Batch tracking</x:t>
        </x:is>
      </x:c>
      <x:c r="F8" s="12" t="n">
        <x:v>1</x:v>
      </x:c>
      <x:c r="G8" s="10" t="inlineStr">
        <x:is>
          <x:t xml:space="preserve">set</x:t>
        </x:is>
      </x:c>
      <x:c r="H8" s="5" t="inlineStr">
        <x:is>
          <x:t xml:space="preserve">Controls/Electrical</x:t>
        </x:is>
      </x:c>
      <x:c r="I8" s="10" t="inlineStr">
        <x:is>
          <x:t xml:space="preserve">MV</x:t>
        </x:is>
      </x:c>
      <x:c r="J8" s="11" t="inlineStr">
        <x:is>
          <x:t xml:space="preserve"/>
        </x:is>
      </x:c>
      <x:c r="K8" s="6">
        <x:f>IF(AND(ISNUMBER(F8),ISNUMBER(J8)),F8*J8,"")</x:f>
      </x:c>
      <x:c r="L8" s="5" t="inlineStr">
        <x:is>
          <x:t xml:space="preserve"/>
        </x:is>
      </x:c>
    </x:row>
    <x:row r="9" ht="42" customHeight="1">
      <x:c r="A9" s="5" t="inlineStr">
        <x:is>
          <x:t xml:space="preserve">Recovery &amp; Biology</x:t>
        </x:is>
      </x:c>
      <x:c r="B9" s="5" t="inlineStr">
        <x:is>
          <x:t xml:space="preserve">Science Unit (Fungi Prep)</x:t>
        </x:is>
      </x:c>
      <x:c r="C9" s="5" t="inlineStr">
        <x:is>
          <x:t xml:space="preserve">Process &amp; Utilities</x:t>
        </x:is>
      </x:c>
      <x:c r="D9" s="5" t="inlineStr">
        <x:is>
          <x:t xml:space="preserve">Dirty-side water branch + valve</x:t>
        </x:is>
      </x:c>
      <x:c r="E9" s="5" t="inlineStr">
        <x:is>
          <x:t xml:space="preserve">From Head 3; gravity preferred</x:t>
        </x:is>
      </x:c>
      <x:c r="F9" s="12" t="n">
        <x:v>1</x:v>
      </x:c>
      <x:c r="G9" s="10" t="inlineStr">
        <x:is>
          <x:t xml:space="preserve">set</x:t>
        </x:is>
      </x:c>
      <x:c r="H9" s="5" t="inlineStr">
        <x:is>
          <x:t xml:space="preserve">Plumbing</x:t>
        </x:is>
      </x:c>
      <x:c r="I9" s="10" t="inlineStr">
        <x:is>
          <x:t xml:space="preserve">MV</x:t>
        </x:is>
      </x:c>
      <x:c r="J9" s="11" t="inlineStr">
        <x:is>
          <x:t xml:space="preserve"/>
        </x:is>
      </x:c>
      <x:c r="K9" s="6">
        <x:f>IF(AND(ISNUMBER(F9),ISNUMBER(J9)),F9*J9,"")</x:f>
      </x:c>
      <x:c r="L9" s="5" t="inlineStr">
        <x:is>
          <x:t xml:space="preserve"/>
        </x:is>
      </x:c>
    </x:row>
    <x:row r="10" ht="42" customHeight="1">
      <x:c r="A10" s="5" t="inlineStr">
        <x:is>
          <x:t xml:space="preserve">Recovery &amp; Biology</x:t>
        </x:is>
      </x:c>
      <x:c r="B10" s="5" t="inlineStr">
        <x:is>
          <x:t xml:space="preserve">Science Unit (Fungi Prep)</x:t>
        </x:is>
      </x:c>
      <x:c r="C10" s="5" t="inlineStr">
        <x:is>
          <x:t xml:space="preserve">Process &amp; Utilities</x:t>
        </x:is>
      </x:c>
      <x:c r="D10" s="5" t="inlineStr">
        <x:is>
          <x:t xml:space="preserve">Subpanel + meter (kWh, peak amps)</x:t>
        </x:is>
      </x:c>
      <x:c r="E10" s="5" t="inlineStr">
        <x:is>
          <x:t xml:space="preserve">Load-day management</x:t>
        </x:is>
      </x:c>
      <x:c r="F10" s="12" t="n">
        <x:v>1</x:v>
      </x:c>
      <x:c r="G10" s="10" t="inlineStr">
        <x:is>
          <x:t xml:space="preserve">set</x:t>
        </x:is>
      </x:c>
      <x:c r="H10" s="5" t="inlineStr">
        <x:is>
          <x:t xml:space="preserve">Electrical</x:t>
        </x:is>
      </x:c>
      <x:c r="I10" s="10" t="inlineStr">
        <x:is>
          <x:t xml:space="preserve">MV</x:t>
        </x:is>
      </x:c>
      <x:c r="J10" s="11" t="inlineStr">
        <x:is>
          <x:t xml:space="preserve"/>
        </x:is>
      </x:c>
      <x:c r="K10" s="6">
        <x:f>IF(AND(ISNUMBER(F10),ISNUMBER(J10)),F10*J10,"")</x:f>
      </x:c>
      <x:c r="L10" s="5" t="inlineStr">
        <x:is>
          <x:t xml:space="preserve"/>
        </x:is>
      </x:c>
    </x:row>
    <x:row r="11" ht="42" customHeight="1">
      <x:c r="A11" s="5" t="inlineStr">
        <x:is>
          <x:t xml:space="preserve">Recovery &amp; Biology</x:t>
        </x:is>
      </x:c>
      <x:c r="B11" s="5" t="inlineStr">
        <x:is>
          <x:t xml:space="preserve">Fruiting Module</x:t>
        </x:is>
      </x:c>
      <x:c r="C11" s="5" t="inlineStr">
        <x:is>
          <x:t xml:space="preserve">Fruiting Environment</x:t>
        </x:is>
      </x:c>
      <x:c r="D11" s="5" t="inlineStr">
        <x:is>
          <x:t xml:space="preserve">Multi-tier bucket racks</x:t>
        </x:is>
      </x:c>
      <x:c r="E11" s="5" t="inlineStr">
        <x:is>
          <x:t xml:space="preserve">Fruiting racks</x:t>
        </x:is>
      </x:c>
      <x:c r="F11" s="12" t="n">
        <x:v>1</x:v>
      </x:c>
      <x:c r="G11" s="10" t="inlineStr">
        <x:is>
          <x:t xml:space="preserve">set</x:t>
        </x:is>
      </x:c>
      <x:c r="H11" s="5" t="inlineStr">
        <x:is>
          <x:t xml:space="preserve">Structural</x:t>
        </x:is>
      </x:c>
      <x:c r="I11" s="10" t="inlineStr">
        <x:is>
          <x:t xml:space="preserve">MV</x:t>
        </x:is>
      </x:c>
      <x:c r="J11" s="11" t="inlineStr">
        <x:is>
          <x:t xml:space="preserve"/>
        </x:is>
      </x:c>
      <x:c r="K11" s="6">
        <x:f>IF(AND(ISNUMBER(F11),ISNUMBER(J11)),F11*J11,"")</x:f>
      </x:c>
      <x:c r="L11" s="5" t="inlineStr">
        <x:is>
          <x:t xml:space="preserve"/>
        </x:is>
      </x:c>
    </x:row>
    <x:row r="12" ht="42" customHeight="1">
      <x:c r="A12" s="5" t="inlineStr">
        <x:is>
          <x:t xml:space="preserve">Recovery &amp; Biology</x:t>
        </x:is>
      </x:c>
      <x:c r="B12" s="5" t="inlineStr">
        <x:is>
          <x:t xml:space="preserve">Fruiting Module</x:t>
        </x:is>
      </x:c>
      <x:c r="C12" s="5" t="inlineStr">
        <x:is>
          <x:t xml:space="preserve">Fruiting Environment</x:t>
        </x:is>
      </x:c>
      <x:c r="D12" s="5" t="inlineStr">
        <x:is>
          <x:t xml:space="preserve">Vent fans / passive vents</x:t>
        </x:is>
      </x:c>
      <x:c r="E12" s="5" t="inlineStr">
        <x:is>
          <x:t xml:space="preserve">Air exchange</x:t>
        </x:is>
      </x:c>
      <x:c r="F12" s="12" t="n">
        <x:v>1</x:v>
      </x:c>
      <x:c r="G12" s="10" t="inlineStr">
        <x:is>
          <x:t xml:space="preserve">set</x:t>
        </x:is>
      </x:c>
      <x:c r="H12" s="5" t="inlineStr">
        <x:is>
          <x:t xml:space="preserve">HVAC</x:t>
        </x:is>
      </x:c>
      <x:c r="I12" s="10" t="inlineStr">
        <x:is>
          <x:t xml:space="preserve">MV</x:t>
        </x:is>
      </x:c>
      <x:c r="J12" s="11" t="inlineStr">
        <x:is>
          <x:t xml:space="preserve"/>
        </x:is>
      </x:c>
      <x:c r="K12" s="6">
        <x:f>IF(AND(ISNUMBER(F12),ISNUMBER(J12)),F12*J12,"")</x:f>
      </x:c>
      <x:c r="L12" s="5" t="inlineStr">
        <x:is>
          <x:t xml:space="preserve"/>
        </x:is>
      </x:c>
    </x:row>
    <x:row r="13" ht="42" customHeight="1">
      <x:c r="A13" s="5" t="inlineStr">
        <x:is>
          <x:t xml:space="preserve">Recovery &amp; Biology</x:t>
        </x:is>
      </x:c>
      <x:c r="B13" s="5" t="inlineStr">
        <x:is>
          <x:t xml:space="preserve">Fruiting Module</x:t>
        </x:is>
      </x:c>
      <x:c r="C13" s="5" t="inlineStr">
        <x:is>
          <x:t xml:space="preserve">Fruiting Environment</x:t>
        </x:is>
      </x:c>
      <x:c r="D13" s="5" t="inlineStr">
        <x:is>
          <x:t xml:space="preserve">Humidifier or mist system</x:t>
        </x:is>
      </x:c>
      <x:c r="E13" s="5" t="inlineStr">
        <x:is>
          <x:t xml:space="preserve">Maintain RH 80–95%</x:t>
        </x:is>
      </x:c>
      <x:c r="F13" s="12" t="n">
        <x:v>1</x:v>
      </x:c>
      <x:c r="G13" s="10" t="inlineStr">
        <x:is>
          <x:t xml:space="preserve">set</x:t>
        </x:is>
      </x:c>
      <x:c r="H13" s="5" t="inlineStr">
        <x:is>
          <x:t xml:space="preserve">Plumbing/Electrical</x:t>
        </x:is>
      </x:c>
      <x:c r="I13" s="10" t="inlineStr">
        <x:is>
          <x:t xml:space="preserve">MV</x:t>
        </x:is>
      </x:c>
      <x:c r="J13" s="11" t="inlineStr">
        <x:is>
          <x:t xml:space="preserve"/>
        </x:is>
      </x:c>
      <x:c r="K13" s="6">
        <x:f>IF(AND(ISNUMBER(F13),ISNUMBER(J13)),F13*J13,"")</x:f>
      </x:c>
      <x:c r="L13" s="5" t="inlineStr">
        <x:is>
          <x:t xml:space="preserve"/>
        </x:is>
      </x:c>
    </x:row>
    <x:row r="14" ht="42" customHeight="1">
      <x:c r="A14" s="5" t="inlineStr">
        <x:is>
          <x:t xml:space="preserve">Recovery &amp; Biology</x:t>
        </x:is>
      </x:c>
      <x:c r="B14" s="5" t="inlineStr">
        <x:is>
          <x:t xml:space="preserve">Fruiting Module</x:t>
        </x:is>
      </x:c>
      <x:c r="C14" s="5" t="inlineStr">
        <x:is>
          <x:t xml:space="preserve">Fruiting Environment</x:t>
        </x:is>
      </x:c>
      <x:c r="D14" s="5" t="inlineStr">
        <x:is>
          <x:t xml:space="preserve">Temp/RH data logger</x:t>
        </x:is>
      </x:c>
      <x:c r="E14" s="5" t="inlineStr">
        <x:is>
          <x:t xml:space="preserve">Monitoring</x:t>
        </x:is>
      </x:c>
      <x:c r="F14" s="12" t="n">
        <x:v>1</x:v>
      </x:c>
      <x:c r="G14" s="10" t="inlineStr">
        <x:is>
          <x:t xml:space="preserve">ea</x:t>
        </x:is>
      </x:c>
      <x:c r="H14" s="5" t="inlineStr">
        <x:is>
          <x:t xml:space="preserve">Controls/Electrical</x:t>
        </x:is>
      </x:c>
      <x:c r="I14" s="10" t="inlineStr">
        <x:is>
          <x:t xml:space="preserve">MV</x:t>
        </x:is>
      </x:c>
      <x:c r="J14" s="11" t="inlineStr">
        <x:is>
          <x:t xml:space="preserve"/>
        </x:is>
      </x:c>
      <x:c r="K14" s="6">
        <x:f>IF(AND(ISNUMBER(F14),ISNUMBER(J14)),F14*J14,"")</x:f>
      </x:c>
      <x:c r="L14" s="5" t="inlineStr">
        <x:is>
          <x:t xml:space="preserve"/>
        </x:is>
      </x:c>
    </x:row>
    <x:row r="15" ht="42" customHeight="1">
      <x:c r="A15" s="5" t="inlineStr">
        <x:is>
          <x:t xml:space="preserve">Recovery &amp; Biology</x:t>
        </x:is>
      </x:c>
      <x:c r="B15" s="5" t="inlineStr">
        <x:is>
          <x:t xml:space="preserve">Fruiting Module</x:t>
        </x:is>
      </x:c>
      <x:c r="C15" s="5" t="inlineStr">
        <x:is>
          <x:t xml:space="preserve">Fruiting Environment</x:t>
        </x:is>
      </x:c>
      <x:c r="D15" s="5" t="inlineStr">
        <x:is>
          <x:t xml:space="preserve">Floor drainage / sump grid</x:t>
        </x:is>
      </x:c>
      <x:c r="E15" s="5" t="inlineStr">
        <x:is>
          <x:t xml:space="preserve">Drain management</x:t>
        </x:is>
      </x:c>
      <x:c r="F15" s="12" t="n">
        <x:v>1</x:v>
      </x:c>
      <x:c r="G15" s="10" t="inlineStr">
        <x:is>
          <x:t xml:space="preserve">set</x:t>
        </x:is>
      </x:c>
      <x:c r="H15" s="5" t="inlineStr">
        <x:is>
          <x:t xml:space="preserve">Plumbing</x:t>
        </x:is>
      </x:c>
      <x:c r="I15" s="10" t="inlineStr">
        <x:is>
          <x:t xml:space="preserve">MV</x:t>
        </x:is>
      </x:c>
      <x:c r="J15" s="11" t="inlineStr">
        <x:is>
          <x:t xml:space="preserve"/>
        </x:is>
      </x:c>
      <x:c r="K15" s="6">
        <x:f>IF(AND(ISNUMBER(F15),ISNUMBER(J15)),F15*J15,"")</x:f>
      </x:c>
      <x:c r="L15" s="5" t="inlineStr">
        <x:is>
          <x:t xml:space="preserve"/>
        </x:is>
      </x:c>
    </x:row>
    <x:row r="16" ht="42" customHeight="1">
      <x:c r="A16" s="5" t="inlineStr">
        <x:is>
          <x:t xml:space="preserve">Recovery &amp; Biology</x:t>
        </x:is>
      </x:c>
      <x:c r="B16" s="5" t="inlineStr">
        <x:is>
          <x:t xml:space="preserve">Fruiting Module</x:t>
        </x:is>
      </x:c>
      <x:c r="C16" s="5" t="inlineStr">
        <x:is>
          <x:t xml:space="preserve">Fruiting Environment</x:t>
        </x:is>
      </x:c>
      <x:c r="D16" s="5" t="inlineStr">
        <x:is>
          <x:t xml:space="preserve">Optional lights (species-dependent)</x:t>
        </x:is>
      </x:c>
      <x:c r="E16" s="5" t="inlineStr">
        <x:is>
          <x:t xml:space="preserve">Low intensity</x:t>
        </x:is>
      </x:c>
      <x:c r="F16" s="12" t="n">
        <x:v>1</x:v>
      </x:c>
      <x:c r="G16" s="10" t="inlineStr">
        <x:is>
          <x:t xml:space="preserve">set</x:t>
        </x:is>
      </x:c>
      <x:c r="H16" s="5" t="inlineStr">
        <x:is>
          <x:t xml:space="preserve">Electrical</x:t>
        </x:is>
      </x:c>
      <x:c r="I16" s="10" t="inlineStr">
        <x:is>
          <x:t xml:space="preserve">MV</x:t>
        </x:is>
      </x:c>
      <x:c r="J16" s="11" t="inlineStr">
        <x:is>
          <x:t xml:space="preserve"/>
        </x:is>
      </x:c>
      <x:c r="K16" s="6">
        <x:f>IF(AND(ISNUMBER(F16),ISNUMBER(J16)),F16*J16,"")</x:f>
      </x:c>
      <x:c r="L16" s="5" t="inlineStr">
        <x:is>
          <x:t xml:space="preserve"/>
        </x:is>
      </x:c>
    </x:row>
    <x:row r="17" ht="42" customHeight="1">
      <x:c r="A17" s="5" t="inlineStr">
        <x:is>
          <x:t xml:space="preserve">Recovery &amp; Biology</x:t>
        </x:is>
      </x:c>
      <x:c r="B17" s="5" t="inlineStr">
        <x:is>
          <x:t xml:space="preserve">Fungi Harvest Module</x:t>
        </x:is>
      </x:c>
      <x:c r="C17" s="5" t="inlineStr">
        <x:is>
          <x:t xml:space="preserve">Stations</x:t>
        </x:is>
      </x:c>
      <x:c r="D17" s="5" t="inlineStr">
        <x:is>
          <x:t xml:space="preserve">Workbench / fold-out table</x:t>
        </x:is>
      </x:c>
      <x:c r="E17" s="5" t="inlineStr">
        <x:is>
          <x:t xml:space="preserve">Harvest station</x:t>
        </x:is>
      </x:c>
      <x:c r="F17" s="12" t="n">
        <x:v>1</x:v>
      </x:c>
      <x:c r="G17" s="10" t="inlineStr">
        <x:is>
          <x:t xml:space="preserve">ea</x:t>
        </x:is>
      </x:c>
      <x:c r="H17" s="5" t="inlineStr">
        <x:is>
          <x:t xml:space="preserve">Structural</x:t>
        </x:is>
      </x:c>
      <x:c r="I17" s="10" t="inlineStr">
        <x:is>
          <x:t xml:space="preserve">MV</x:t>
        </x:is>
      </x:c>
      <x:c r="J17" s="11" t="inlineStr">
        <x:is>
          <x:t xml:space="preserve"/>
        </x:is>
      </x:c>
      <x:c r="K17" s="6">
        <x:f>IF(AND(ISNUMBER(F17),ISNUMBER(J17)),F17*J17,"")</x:f>
      </x:c>
      <x:c r="L17" s="5" t="inlineStr">
        <x:is>
          <x:t xml:space="preserve"/>
        </x:is>
      </x:c>
    </x:row>
    <x:row r="18" ht="42" customHeight="1">
      <x:c r="A18" s="5" t="inlineStr">
        <x:is>
          <x:t xml:space="preserve">Recovery &amp; Biology</x:t>
        </x:is>
      </x:c>
      <x:c r="B18" s="5" t="inlineStr">
        <x:is>
          <x:t xml:space="preserve">Fungi Harvest Module</x:t>
        </x:is>
      </x:c>
      <x:c r="C18" s="5" t="inlineStr">
        <x:is>
          <x:t xml:space="preserve">Stations</x:t>
        </x:is>
      </x:c>
      <x:c r="D18" s="5" t="inlineStr">
        <x:is>
          <x:t xml:space="preserve">Scale</x:t>
        </x:is>
      </x:c>
      <x:c r="E18" s="5" t="inlineStr">
        <x:is>
          <x:t xml:space="preserve">Weigh product</x:t>
        </x:is>
      </x:c>
      <x:c r="F18" s="12" t="n">
        <x:v>1</x:v>
      </x:c>
      <x:c r="G18" s="10" t="inlineStr">
        <x:is>
          <x:t xml:space="preserve">ea</x:t>
        </x:is>
      </x:c>
      <x:c r="H18" s="5" t="inlineStr">
        <x:is>
          <x:t xml:space="preserve">Controls/Electrical</x:t>
        </x:is>
      </x:c>
      <x:c r="I18" s="10" t="inlineStr">
        <x:is>
          <x:t xml:space="preserve">MV</x:t>
        </x:is>
      </x:c>
      <x:c r="J18" s="11" t="inlineStr">
        <x:is>
          <x:t xml:space="preserve"/>
        </x:is>
      </x:c>
      <x:c r="K18" s="6">
        <x:f>IF(AND(ISNUMBER(F18),ISNUMBER(J18)),F18*J18,"")</x:f>
      </x:c>
      <x:c r="L18" s="5" t="inlineStr">
        <x:is>
          <x:t xml:space="preserve"/>
        </x:is>
      </x:c>
    </x:row>
    <x:row r="19" ht="42" customHeight="1">
      <x:c r="A19" s="5" t="inlineStr">
        <x:is>
          <x:t xml:space="preserve">Recovery &amp; Biology</x:t>
        </x:is>
      </x:c>
      <x:c r="B19" s="5" t="inlineStr">
        <x:is>
          <x:t xml:space="preserve">Fungi Harvest Module</x:t>
        </x:is>
      </x:c>
      <x:c r="C19" s="5" t="inlineStr">
        <x:is>
          <x:t xml:space="preserve">Stations</x:t>
        </x:is>
      </x:c>
      <x:c r="D19" s="5" t="inlineStr">
        <x:is>
          <x:t xml:space="preserve">QR scanner + tablet/log device</x:t>
        </x:is>
      </x:c>
      <x:c r="E19" s="5" t="inlineStr">
        <x:is>
          <x:t xml:space="preserve">Logging</x:t>
        </x:is>
      </x:c>
      <x:c r="F19" s="12" t="n">
        <x:v>1</x:v>
      </x:c>
      <x:c r="G19" s="10" t="inlineStr">
        <x:is>
          <x:t xml:space="preserve">set</x:t>
        </x:is>
      </x:c>
      <x:c r="H19" s="5" t="inlineStr">
        <x:is>
          <x:t xml:space="preserve">Controls/Electrical</x:t>
        </x:is>
      </x:c>
      <x:c r="I19" s="10" t="inlineStr">
        <x:is>
          <x:t xml:space="preserve">MV</x:t>
        </x:is>
      </x:c>
      <x:c r="J19" s="11" t="inlineStr">
        <x:is>
          <x:t xml:space="preserve"/>
        </x:is>
      </x:c>
      <x:c r="K19" s="6">
        <x:f>IF(AND(ISNUMBER(F19),ISNUMBER(J19)),F19*J19,"")</x:f>
      </x:c>
      <x:c r="L19" s="5" t="inlineStr">
        <x:is>
          <x:t xml:space="preserve"/>
        </x:is>
      </x:c>
    </x:row>
    <x:row r="20" ht="42" customHeight="1">
      <x:c r="A20" s="5" t="inlineStr">
        <x:is>
          <x:t xml:space="preserve">Recovery &amp; Biology</x:t>
        </x:is>
      </x:c>
      <x:c r="B20" s="5" t="inlineStr">
        <x:is>
          <x:t xml:space="preserve">Fungi Harvest Module</x:t>
        </x:is>
      </x:c>
      <x:c r="C20" s="5" t="inlineStr">
        <x:is>
          <x:t xml:space="preserve">Stations</x:t>
        </x:is>
      </x:c>
      <x:c r="D20" s="5" t="inlineStr">
        <x:is>
          <x:t xml:space="preserve">Task light</x:t>
        </x:is>
      </x:c>
      <x:c r="E20" s="5" t="inlineStr">
        <x:is>
          <x:t xml:space="preserve">Visibility</x:t>
        </x:is>
      </x:c>
      <x:c r="F20" s="12" t="n">
        <x:v>1</x:v>
      </x:c>
      <x:c r="G20" s="10" t="inlineStr">
        <x:is>
          <x:t xml:space="preserve">ea</x:t>
        </x:is>
      </x:c>
      <x:c r="H20" s="5" t="inlineStr">
        <x:is>
          <x:t xml:space="preserve">Electrical</x:t>
        </x:is>
      </x:c>
      <x:c r="I20" s="10" t="inlineStr">
        <x:is>
          <x:t xml:space="preserve">MV</x:t>
        </x:is>
      </x:c>
      <x:c r="J20" s="11" t="inlineStr">
        <x:is>
          <x:t xml:space="preserve"/>
        </x:is>
      </x:c>
      <x:c r="K20" s="6">
        <x:f>IF(AND(ISNUMBER(F20),ISNUMBER(J20)),F20*J20,"")</x:f>
      </x:c>
      <x:c r="L20" s="5" t="inlineStr">
        <x:is>
          <x:t xml:space="preserve"/>
        </x:is>
      </x:c>
    </x:row>
    <x:row r="21" ht="42" customHeight="1">
      <x:c r="A21" s="5" t="inlineStr">
        <x:is>
          <x:t xml:space="preserve">Recovery &amp; Biology</x:t>
        </x:is>
      </x:c>
      <x:c r="B21" s="5" t="inlineStr">
        <x:is>
          <x:t xml:space="preserve">Fungi Harvest Module</x:t>
        </x:is>
      </x:c>
      <x:c r="C21" s="5" t="inlineStr">
        <x:is>
          <x:t xml:space="preserve">Stations</x:t>
        </x:is>
      </x:c>
      <x:c r="D21" s="5" t="inlineStr">
        <x:is>
          <x:t xml:space="preserve">Sanitizer station</x:t>
        </x:is>
      </x:c>
      <x:c r="E21" s="5" t="inlineStr">
        <x:is>
          <x:t xml:space="preserve">Hygiene</x:t>
        </x:is>
      </x:c>
      <x:c r="F21" s="12" t="n">
        <x:v>1</x:v>
      </x:c>
      <x:c r="G21" s="10" t="inlineStr">
        <x:is>
          <x:t xml:space="preserve">ea</x:t>
        </x:is>
      </x:c>
      <x:c r="H21" s="5" t="inlineStr">
        <x:is>
          <x:t xml:space="preserve">Food-safety</x:t>
        </x:is>
      </x:c>
      <x:c r="I21" s="10" t="inlineStr">
        <x:is>
          <x:t xml:space="preserve">MV</x:t>
        </x:is>
      </x:c>
      <x:c r="J21" s="11" t="inlineStr">
        <x:is>
          <x:t xml:space="preserve"/>
        </x:is>
      </x:c>
      <x:c r="K21" s="6">
        <x:f>IF(AND(ISNUMBER(F21),ISNUMBER(J21)),F21*J21,"")</x:f>
      </x:c>
      <x:c r="L21" s="5" t="inlineStr">
        <x:is>
          <x:t xml:space="preserve"/>
        </x:is>
      </x:c>
    </x:row>
    <x:row r="22" ht="42" customHeight="1">
      <x:c r="A22" s="5" t="inlineStr">
        <x:is>
          <x:t xml:space="preserve">Recovery &amp; Biology</x:t>
        </x:is>
      </x:c>
      <x:c r="B22" s="5" t="inlineStr">
        <x:is>
          <x:t xml:space="preserve">Staging &amp; Return Module</x:t>
        </x:is>
      </x:c>
      <x:c r="C22" s="5" t="inlineStr">
        <x:is>
          <x:t xml:space="preserve">Workflow</x:t>
        </x:is>
      </x:c>
      <x:c r="D22" s="5" t="inlineStr">
        <x:is>
          <x:t xml:space="preserve">Bucket drying racks</x:t>
        </x:is>
      </x:c>
      <x:c r="E22" s="5" t="inlineStr">
        <x:is>
          <x:t xml:space="preserve">Dry-down &lt;48h target</x:t>
        </x:is>
      </x:c>
      <x:c r="F22" s="12" t="n">
        <x:v>1</x:v>
      </x:c>
      <x:c r="G22" s="10" t="inlineStr">
        <x:is>
          <x:t xml:space="preserve">set</x:t>
        </x:is>
      </x:c>
      <x:c r="H22" s="5" t="inlineStr">
        <x:is>
          <x:t xml:space="preserve">Structural</x:t>
        </x:is>
      </x:c>
      <x:c r="I22" s="10" t="inlineStr">
        <x:is>
          <x:t xml:space="preserve">MV</x:t>
        </x:is>
      </x:c>
      <x:c r="J22" s="11" t="inlineStr">
        <x:is>
          <x:t xml:space="preserve"/>
        </x:is>
      </x:c>
      <x:c r="K22" s="6">
        <x:f>IF(AND(ISNUMBER(F22),ISNUMBER(J22)),F22*J22,"")</x:f>
      </x:c>
      <x:c r="L22" s="5" t="inlineStr">
        <x:is>
          <x:t xml:space="preserve"/>
        </x:is>
      </x:c>
    </x:row>
    <x:row r="23" ht="42" customHeight="1">
      <x:c r="A23" s="5" t="inlineStr">
        <x:is>
          <x:t xml:space="preserve">Recovery &amp; Biology</x:t>
        </x:is>
      </x:c>
      <x:c r="B23" s="5" t="inlineStr">
        <x:is>
          <x:t xml:space="preserve">Staging &amp; Return Module</x:t>
        </x:is>
      </x:c>
      <x:c r="C23" s="5" t="inlineStr">
        <x:is>
          <x:t xml:space="preserve">Workflow</x:t>
        </x:is>
      </x:c>
      <x:c r="D23" s="5" t="inlineStr">
        <x:is>
          <x:t xml:space="preserve">Return sort zone signage</x:t>
        </x:is>
      </x:c>
      <x:c r="E23" s="5" t="inlineStr">
        <x:is>
          <x:t xml:space="preserve">Return vs compost</x:t>
        </x:is>
      </x:c>
      <x:c r="F23" s="12" t="n">
        <x:v>1</x:v>
      </x:c>
      <x:c r="G23" s="10" t="inlineStr">
        <x:is>
          <x:t xml:space="preserve">set</x:t>
        </x:is>
      </x:c>
      <x:c r="H23" s="5" t="inlineStr">
        <x:is>
          <x:t xml:space="preserve">Food-safety</x:t>
        </x:is>
      </x:c>
      <x:c r="I23" s="10" t="inlineStr">
        <x:is>
          <x:t xml:space="preserve">MV</x:t>
        </x:is>
      </x:c>
      <x:c r="J23" s="11" t="inlineStr">
        <x:is>
          <x:t xml:space="preserve"/>
        </x:is>
      </x:c>
      <x:c r="K23" s="6">
        <x:f>IF(AND(ISNUMBER(F23),ISNUMBER(J23)),F23*J23,"")</x:f>
      </x:c>
      <x:c r="L23" s="5" t="inlineStr">
        <x:is>
          <x:t xml:space="preserve"/>
        </x:is>
      </x:c>
    </x:row>
    <x:row r="24" ht="42" customHeight="1">
      <x:c r="A24" s="5" t="inlineStr">
        <x:is>
          <x:t xml:space="preserve">Recovery &amp; Biology</x:t>
        </x:is>
      </x:c>
      <x:c r="B24" s="5" t="inlineStr">
        <x:is>
          <x:t xml:space="preserve">Staging &amp; Return Module</x:t>
        </x:is>
      </x:c>
      <x:c r="C24" s="5" t="inlineStr">
        <x:is>
          <x:t xml:space="preserve">Workflow</x:t>
        </x:is>
      </x:c>
      <x:c r="D24" s="5" t="inlineStr">
        <x:is>
          <x:t xml:space="preserve">Passive fan (optional)</x:t>
        </x:is>
      </x:c>
      <x:c r="E24" s="5" t="inlineStr">
        <x:is>
          <x:t xml:space="preserve">Airflow assist</x:t>
        </x:is>
      </x:c>
      <x:c r="F24" s="12" t="n">
        <x:v>1</x:v>
      </x:c>
      <x:c r="G24" s="10" t="inlineStr">
        <x:is>
          <x:t xml:space="preserve">ea</x:t>
        </x:is>
      </x:c>
      <x:c r="H24" s="5" t="inlineStr">
        <x:is>
          <x:t xml:space="preserve">HVAC</x:t>
        </x:is>
      </x:c>
      <x:c r="I24" s="10" t="inlineStr">
        <x:is>
          <x:t xml:space="preserve">MV</x:t>
        </x:is>
      </x:c>
      <x:c r="J24" s="11" t="inlineStr">
        <x:is>
          <x:t xml:space="preserve"/>
        </x:is>
      </x:c>
      <x:c r="K24" s="6">
        <x:f>IF(AND(ISNUMBER(F24),ISNUMBER(J24)),F24*J24,"")</x:f>
      </x:c>
      <x:c r="L24" s="5" t="inlineStr">
        <x:is>
          <x:t xml:space="preserve"/>
        </x:is>
      </x:c>
    </x:row>
    <x:row r="25" ht="42" customHeight="1">
      <x:c r="A25" s="5" t="inlineStr">
        <x:is>
          <x:t xml:space="preserve">Recovery &amp; Biology</x:t>
        </x:is>
      </x:c>
      <x:c r="B25" s="5" t="inlineStr">
        <x:is>
          <x:t xml:space="preserve">Vermiculture Module</x:t>
        </x:is>
      </x:c>
      <x:c r="C25" s="5" t="inlineStr">
        <x:is>
          <x:t xml:space="preserve">Soil System</x:t>
        </x:is>
      </x:c>
      <x:c r="D25" s="5" t="inlineStr">
        <x:is>
          <x:t xml:space="preserve">Vermi bins (Stage 1–3)</x:t>
        </x:is>
      </x:c>
      <x:c r="E25" s="5" t="inlineStr">
        <x:is>
          <x:t xml:space="preserve">Progressive beds</x:t>
        </x:is>
      </x:c>
      <x:c r="F25" s="12" t="n">
        <x:v>3</x:v>
      </x:c>
      <x:c r="G25" s="10" t="inlineStr">
        <x:is>
          <x:t xml:space="preserve">ea</x:t>
        </x:is>
      </x:c>
      <x:c r="H25" s="5" t="inlineStr">
        <x:is>
          <x:t xml:space="preserve">Structural</x:t>
        </x:is>
      </x:c>
      <x:c r="I25" s="10" t="inlineStr">
        <x:is>
          <x:t xml:space="preserve">MV</x:t>
        </x:is>
      </x:c>
      <x:c r="J25" s="11" t="inlineStr">
        <x:is>
          <x:t xml:space="preserve"/>
        </x:is>
      </x:c>
      <x:c r="K25" s="6">
        <x:f>IF(AND(ISNUMBER(F25),ISNUMBER(J25)),F25*J25,"")</x:f>
      </x:c>
      <x:c r="L25" s="5" t="inlineStr">
        <x:is>
          <x:t xml:space="preserve"/>
        </x:is>
      </x:c>
    </x:row>
    <x:row r="26" ht="42" customHeight="1">
      <x:c r="A26" s="5" t="inlineStr">
        <x:is>
          <x:t xml:space="preserve">Recovery &amp; Biology</x:t>
        </x:is>
      </x:c>
      <x:c r="B26" s="5" t="inlineStr">
        <x:is>
          <x:t xml:space="preserve">Vermiculture Module</x:t>
        </x:is>
      </x:c>
      <x:c r="C26" s="5" t="inlineStr">
        <x:is>
          <x:t xml:space="preserve">Soil System</x:t>
        </x:is>
      </x:c>
      <x:c r="D26" s="5" t="inlineStr">
        <x:is>
          <x:t xml:space="preserve">External hopper + auger</x:t>
        </x:is>
      </x:c>
      <x:c r="E26" s="5" t="inlineStr">
        <x:is>
          <x:t xml:space="preserve">Bucket dump assist</x:t>
        </x:is>
      </x:c>
      <x:c r="F26" s="12" t="n">
        <x:v>1</x:v>
      </x:c>
      <x:c r="G26" s="10" t="inlineStr">
        <x:is>
          <x:t xml:space="preserve">set</x:t>
        </x:is>
      </x:c>
      <x:c r="H26" s="5" t="inlineStr">
        <x:is>
          <x:t xml:space="preserve">Electrical</x:t>
        </x:is>
      </x:c>
      <x:c r="I26" s="10" t="inlineStr">
        <x:is>
          <x:t xml:space="preserve">MV</x:t>
        </x:is>
      </x:c>
      <x:c r="J26" s="11" t="inlineStr">
        <x:is>
          <x:t xml:space="preserve"/>
        </x:is>
      </x:c>
      <x:c r="K26" s="6">
        <x:f>IF(AND(ISNUMBER(F26),ISNUMBER(J26)),F26*J26,"")</x:f>
      </x:c>
      <x:c r="L26" s="5" t="inlineStr">
        <x:is>
          <x:t xml:space="preserve"/>
        </x:is>
      </x:c>
    </x:row>
    <x:row r="27" ht="42" customHeight="1">
      <x:c r="A27" s="5" t="inlineStr">
        <x:is>
          <x:t xml:space="preserve">Recovery &amp; Biology</x:t>
        </x:is>
      </x:c>
      <x:c r="B27" s="5" t="inlineStr">
        <x:is>
          <x:t xml:space="preserve">Vermiculture Module</x:t>
        </x:is>
      </x:c>
      <x:c r="C27" s="5" t="inlineStr">
        <x:is>
          <x:t xml:space="preserve">Soil System</x:t>
        </x:is>
      </x:c>
      <x:c r="D27" s="5" t="inlineStr">
        <x:is>
          <x:t xml:space="preserve">Passive vent + fan</x:t>
        </x:is>
      </x:c>
      <x:c r="E27" s="5" t="inlineStr">
        <x:is>
          <x:t xml:space="preserve">Odor / airflow control</x:t>
        </x:is>
      </x:c>
      <x:c r="F27" s="12" t="n">
        <x:v>1</x:v>
      </x:c>
      <x:c r="G27" s="10" t="inlineStr">
        <x:is>
          <x:t xml:space="preserve">set</x:t>
        </x:is>
      </x:c>
      <x:c r="H27" s="5" t="inlineStr">
        <x:is>
          <x:t xml:space="preserve">HVAC</x:t>
        </x:is>
      </x:c>
      <x:c r="I27" s="10" t="inlineStr">
        <x:is>
          <x:t xml:space="preserve">MV</x:t>
        </x:is>
      </x:c>
      <x:c r="J27" s="11" t="inlineStr">
        <x:is>
          <x:t xml:space="preserve"/>
        </x:is>
      </x:c>
      <x:c r="K27" s="6">
        <x:f>IF(AND(ISNUMBER(F27),ISNUMBER(J27)),F27*J27,"")</x:f>
      </x:c>
      <x:c r="L27" s="5" t="inlineStr">
        <x:is>
          <x:t xml:space="preserve"/>
        </x:is>
      </x:c>
    </x:row>
    <x:row r="28" ht="42" customHeight="1">
      <x:c r="A28" s="5" t="inlineStr">
        <x:is>
          <x:t xml:space="preserve">Recovery &amp; Biology</x:t>
        </x:is>
      </x:c>
      <x:c r="B28" s="5" t="inlineStr">
        <x:is>
          <x:t xml:space="preserve">Vermiculture Module</x:t>
        </x:is>
      </x:c>
      <x:c r="C28" s="5" t="inlineStr">
        <x:is>
          <x:t xml:space="preserve">Soil System</x:t>
        </x:is>
      </x:c>
      <x:c r="D28" s="5" t="inlineStr">
        <x:is>
          <x:t xml:space="preserve">Optional leachate capture / drain</x:t>
        </x:is>
      </x:c>
      <x:c r="E28" s="5" t="inlineStr">
        <x:is>
          <x:t xml:space="preserve">Worm tea capture</x:t>
        </x:is>
      </x:c>
      <x:c r="F28" s="12" t="n">
        <x:v>1</x:v>
      </x:c>
      <x:c r="G28" s="10" t="inlineStr">
        <x:is>
          <x:t xml:space="preserve">set</x:t>
        </x:is>
      </x:c>
      <x:c r="H28" s="5" t="inlineStr">
        <x:is>
          <x:t xml:space="preserve">Plumbing</x:t>
        </x:is>
      </x:c>
      <x:c r="I28" s="10" t="inlineStr">
        <x:is>
          <x:t xml:space="preserve">MV</x:t>
        </x:is>
      </x:c>
      <x:c r="J28" s="11" t="inlineStr">
        <x:is>
          <x:t xml:space="preserve"/>
        </x:is>
      </x:c>
      <x:c r="K28" s="6">
        <x:f>IF(AND(ISNUMBER(F28),ISNUMBER(J28)),F28*J28,"")</x:f>
      </x:c>
      <x:c r="L28" s="5" t="inlineStr">
        <x:is>
          <x:t xml:space="preserve"/>
        </x:is>
      </x:c>
    </x:row>
    <x:row r="29" ht="42" customHeight="1">
      <x:c r="A29" s="5" t="inlineStr">
        <x:is>
          <x:t xml:space="preserve">Recovery &amp; Biology</x:t>
        </x:is>
      </x:c>
      <x:c r="B29" s="5" t="inlineStr">
        <x:is>
          <x:t xml:space="preserve">Vermiculture Module</x:t>
        </x:is>
      </x:c>
      <x:c r="C29" s="5" t="inlineStr">
        <x:is>
          <x:t xml:space="preserve">Soil System</x:t>
        </x:is>
      </x:c>
      <x:c r="D29" s="5" t="inlineStr">
        <x:is>
          <x:t xml:space="preserve">Bio separation signage</x:t>
        </x:is>
      </x:c>
      <x:c r="E29" s="5" t="inlineStr">
        <x:is>
          <x:t xml:space="preserve">Clean/dirty discipline</x:t>
        </x:is>
      </x:c>
      <x:c r="F29" s="12" t="n">
        <x:v>1</x:v>
      </x:c>
      <x:c r="G29" s="10" t="inlineStr">
        <x:is>
          <x:t xml:space="preserve">set</x:t>
        </x:is>
      </x:c>
      <x:c r="H29" s="5" t="inlineStr">
        <x:is>
          <x:t xml:space="preserve">Food-safety</x:t>
        </x:is>
      </x:c>
      <x:c r="I29" s="10" t="inlineStr">
        <x:is>
          <x:t xml:space="preserve">MV</x:t>
        </x:is>
      </x:c>
      <x:c r="J29" s="11" t="inlineStr">
        <x:is>
          <x:t xml:space="preserve"/>
        </x:is>
      </x:c>
      <x:c r="K29" s="6">
        <x:f>IF(AND(ISNUMBER(F29),ISNUMBER(J29)),F29*J29,"")</x:f>
      </x:c>
      <x:c r="L29" s="5" t="inlineStr">
        <x:is>
          <x:t xml:space="preserve"/>
        </x:is>
      </x:c>
    </x:row>
    <x:row r="30" ht="42" customHeight="1">
      <x:c r="A30" s="5" t="inlineStr">
        <x:is>
          <x:t xml:space="preserve">Recovery &amp; Biology</x:t>
        </x:is>
      </x:c>
      <x:c r="B30" s="5" t="inlineStr">
        <x:is>
          <x:t xml:space="preserve">Hydro Battery Module</x:t>
        </x:is>
      </x:c>
      <x:c r="C30" s="5" t="inlineStr">
        <x:is>
          <x:t xml:space="preserve">Energy Recovery</x:t>
        </x:is>
      </x:c>
      <x:c r="D30" s="5" t="inlineStr">
        <x:is>
          <x:t xml:space="preserve">Vertical module shell (container / vault)</x:t>
        </x:is>
      </x:c>
      <x:c r="E30" s="5" t="inlineStr">
        <x:is>
          <x:t xml:space="preserve">Access + structural enclosure for loops</x:t>
        </x:is>
      </x:c>
      <x:c r="F30" s="10" t="inlineStr">
        <x:is>
          <x:t xml:space="preserve"/>
        </x:is>
      </x:c>
      <x:c r="G30" s="10" t="inlineStr">
        <x:is>
          <x:t xml:space="preserve"/>
        </x:is>
      </x:c>
      <x:c r="H30" s="5" t="inlineStr">
        <x:is>
          <x:t xml:space="preserve">Structural</x:t>
        </x:is>
      </x:c>
      <x:c r="I30" s="10" t="inlineStr">
        <x:is>
          <x:t xml:space="preserve">Phase 2</x:t>
        </x:is>
      </x:c>
      <x:c r="J30" s="11" t="inlineStr">
        <x:is>
          <x:t xml:space="preserve"/>
        </x:is>
      </x:c>
      <x:c r="K30" s="6">
        <x:f>IF(AND(ISNUMBER(F30),ISNUMBER(J30)),F30*J30,"")</x:f>
      </x:c>
      <x:c r="L30" s="5" t="inlineStr">
        <x:is>
          <x:t xml:space="preserve"/>
        </x:is>
      </x:c>
    </x:row>
    <x:row r="31" ht="42" customHeight="1">
      <x:c r="A31" s="5" t="inlineStr">
        <x:is>
          <x:t xml:space="preserve">Recovery &amp; Biology</x:t>
        </x:is>
      </x:c>
      <x:c r="B31" s="5" t="inlineStr">
        <x:is>
          <x:t xml:space="preserve">Hydro Battery Module</x:t>
        </x:is>
      </x:c>
      <x:c r="C31" s="5" t="inlineStr">
        <x:is>
          <x:t xml:space="preserve">Energy Recovery</x:t>
        </x:is>
      </x:c>
      <x:c r="D31" s="5" t="inlineStr">
        <x:is>
          <x:t xml:space="preserve">DN200 primary piping</x:t>
        </x:is>
      </x:c>
      <x:c r="E31" s="5" t="inlineStr">
        <x:is>
          <x:t xml:space="preserve">Target velocity ≤1.5 m/s</x:t>
        </x:is>
      </x:c>
      <x:c r="F31" s="10" t="inlineStr">
        <x:is>
          <x:t xml:space="preserve"/>
        </x:is>
      </x:c>
      <x:c r="G31" s="10" t="inlineStr">
        <x:is>
          <x:t xml:space="preserve"/>
        </x:is>
      </x:c>
      <x:c r="H31" s="5" t="inlineStr">
        <x:is>
          <x:t xml:space="preserve">Plumbing</x:t>
        </x:is>
      </x:c>
      <x:c r="I31" s="10" t="inlineStr">
        <x:is>
          <x:t xml:space="preserve">Phase 2</x:t>
        </x:is>
      </x:c>
      <x:c r="J31" s="11" t="inlineStr">
        <x:is>
          <x:t xml:space="preserve"/>
        </x:is>
      </x:c>
      <x:c r="K31" s="6">
        <x:f>IF(AND(ISNUMBER(F31),ISNUMBER(J31)),F31*J31,"")</x:f>
      </x:c>
      <x:c r="L31" s="5" t="inlineStr">
        <x:is>
          <x:t xml:space="preserve"/>
        </x:is>
      </x:c>
    </x:row>
    <x:row r="32" ht="42" customHeight="1">
      <x:c r="A32" s="5" t="inlineStr">
        <x:is>
          <x:t xml:space="preserve">Recovery &amp; Biology</x:t>
        </x:is>
      </x:c>
      <x:c r="B32" s="5" t="inlineStr">
        <x:is>
          <x:t xml:space="preserve">Hydro Battery Module</x:t>
        </x:is>
      </x:c>
      <x:c r="C32" s="5" t="inlineStr">
        <x:is>
          <x:t xml:space="preserve">Energy Recovery</x:t>
        </x:is>
      </x:c>
      <x:c r="D32" s="5" t="inlineStr">
        <x:is>
          <x:t xml:space="preserve">Long-radius bends / sweep sections</x:t>
        </x:is>
      </x:c>
      <x:c r="E32" s="5" t="inlineStr">
        <x:is>
          <x:t xml:space="preserve">Minimize head loss</x:t>
        </x:is>
      </x:c>
      <x:c r="F32" s="10" t="inlineStr">
        <x:is>
          <x:t xml:space="preserve"/>
        </x:is>
      </x:c>
      <x:c r="G32" s="10" t="inlineStr">
        <x:is>
          <x:t xml:space="preserve"/>
        </x:is>
      </x:c>
      <x:c r="H32" s="5" t="inlineStr">
        <x:is>
          <x:t xml:space="preserve">Plumbing</x:t>
        </x:is>
      </x:c>
      <x:c r="I32" s="10" t="inlineStr">
        <x:is>
          <x:t xml:space="preserve">Phase 2</x:t>
        </x:is>
      </x:c>
      <x:c r="J32" s="11" t="inlineStr">
        <x:is>
          <x:t xml:space="preserve"/>
        </x:is>
      </x:c>
      <x:c r="K32" s="6">
        <x:f>IF(AND(ISNUMBER(F32),ISNUMBER(J32)),F32*J32,"")</x:f>
      </x:c>
      <x:c r="L32" s="5" t="inlineStr">
        <x:is>
          <x:t xml:space="preserve"/>
        </x:is>
      </x:c>
    </x:row>
    <x:row r="33" ht="42" customHeight="1">
      <x:c r="A33" s="5" t="inlineStr">
        <x:is>
          <x:t xml:space="preserve">Recovery &amp; Biology</x:t>
        </x:is>
      </x:c>
      <x:c r="B33" s="5" t="inlineStr">
        <x:is>
          <x:t xml:space="preserve">Hydro Battery Module</x:t>
        </x:is>
      </x:c>
      <x:c r="C33" s="5" t="inlineStr">
        <x:is>
          <x:t xml:space="preserve">Energy Recovery</x:t>
        </x:is>
      </x:c>
      <x:c r="D33" s="5" t="inlineStr">
        <x:is>
          <x:t xml:space="preserve">Staggered free-surface tanks (5–10 m³)</x:t>
        </x:is>
      </x:c>
      <x:c r="E33" s="5" t="inlineStr">
        <x:is>
          <x:t xml:space="preserve">Pressure reset points</x:t>
        </x:is>
      </x:c>
      <x:c r="F33" s="10" t="inlineStr">
        <x:is>
          <x:t xml:space="preserve"/>
        </x:is>
      </x:c>
      <x:c r="G33" s="10" t="inlineStr">
        <x:is>
          <x:t xml:space="preserve"/>
        </x:is>
      </x:c>
      <x:c r="H33" s="5" t="inlineStr">
        <x:is>
          <x:t xml:space="preserve">Plumbing</x:t>
        </x:is>
      </x:c>
      <x:c r="I33" s="10" t="inlineStr">
        <x:is>
          <x:t xml:space="preserve">Phase 2</x:t>
        </x:is>
      </x:c>
      <x:c r="J33" s="11" t="inlineStr">
        <x:is>
          <x:t xml:space="preserve"/>
        </x:is>
      </x:c>
      <x:c r="K33" s="6">
        <x:f>IF(AND(ISNUMBER(F33),ISNUMBER(J33)),F33*J33,"")</x:f>
      </x:c>
      <x:c r="L33" s="5" t="inlineStr">
        <x:is>
          <x:t xml:space="preserve"/>
        </x:is>
      </x:c>
    </x:row>
    <x:row r="34" ht="42" customHeight="1">
      <x:c r="A34" s="5" t="inlineStr">
        <x:is>
          <x:t xml:space="preserve">Recovery &amp; Biology</x:t>
        </x:is>
      </x:c>
      <x:c r="B34" s="5" t="inlineStr">
        <x:is>
          <x:t xml:space="preserve">Hydro Battery Module</x:t>
        </x:is>
      </x:c>
      <x:c r="C34" s="5" t="inlineStr">
        <x:is>
          <x:t xml:space="preserve">Energy Recovery</x:t>
        </x:is>
      </x:c>
      <x:c r="D34" s="5" t="inlineStr">
        <x:is>
          <x:t xml:space="preserve">Top reference bladder (1–3 m³)</x:t>
        </x:is>
      </x:c>
      <x:c r="E34" s="5" t="inlineStr">
        <x:is>
          <x:t xml:space="preserve">Sets reference head; decouples pump recharge</x:t>
        </x:is>
      </x:c>
      <x:c r="F34" s="10" t="inlineStr">
        <x:is>
          <x:t xml:space="preserve"/>
        </x:is>
      </x:c>
      <x:c r="G34" s="10" t="inlineStr">
        <x:is>
          <x:t xml:space="preserve"/>
        </x:is>
      </x:c>
      <x:c r="H34" s="5" t="inlineStr">
        <x:is>
          <x:t xml:space="preserve">Plumbing</x:t>
        </x:is>
      </x:c>
      <x:c r="I34" s="10" t="inlineStr">
        <x:is>
          <x:t xml:space="preserve">Phase 2</x:t>
        </x:is>
      </x:c>
      <x:c r="J34" s="11" t="inlineStr">
        <x:is>
          <x:t xml:space="preserve"/>
        </x:is>
      </x:c>
      <x:c r="K34" s="6">
        <x:f>IF(AND(ISNUMBER(F34),ISNUMBER(J34)),F34*J34,"")</x:f>
      </x:c>
      <x:c r="L34" s="5" t="inlineStr">
        <x:is>
          <x:t xml:space="preserve"/>
        </x:is>
      </x:c>
    </x:row>
    <x:row r="35" ht="42" customHeight="1">
      <x:c r="A35" s="5" t="inlineStr">
        <x:is>
          <x:t xml:space="preserve">Recovery &amp; Biology</x:t>
        </x:is>
      </x:c>
      <x:c r="B35" s="5" t="inlineStr">
        <x:is>
          <x:t xml:space="preserve">Hydro Battery Module</x:t>
        </x:is>
      </x:c>
      <x:c r="C35" s="5" t="inlineStr">
        <x:is>
          <x:t xml:space="preserve">Energy Recovery</x:t>
        </x:is>
      </x:c>
      <x:c r="D35" s="5" t="inlineStr">
        <x:is>
          <x:t xml:space="preserve">Micro-hydro turbine + generator</x:t>
        </x:is>
      </x:c>
      <x:c r="E35" s="5" t="inlineStr">
        <x:is>
          <x:t xml:space="preserve">Sized for average flow; bypass included</x:t>
        </x:is>
      </x:c>
      <x:c r="F35" s="10" t="inlineStr">
        <x:is>
          <x:t xml:space="preserve"/>
        </x:is>
      </x:c>
      <x:c r="G35" s="10" t="inlineStr">
        <x:is>
          <x:t xml:space="preserve"/>
        </x:is>
      </x:c>
      <x:c r="H35" s="5" t="inlineStr">
        <x:is>
          <x:t xml:space="preserve">Electrical</x:t>
        </x:is>
      </x:c>
      <x:c r="I35" s="10" t="inlineStr">
        <x:is>
          <x:t xml:space="preserve">Phase 2</x:t>
        </x:is>
      </x:c>
      <x:c r="J35" s="11" t="inlineStr">
        <x:is>
          <x:t xml:space="preserve"/>
        </x:is>
      </x:c>
      <x:c r="K35" s="6">
        <x:f>IF(AND(ISNUMBER(F35),ISNUMBER(J35)),F35*J35,"")</x:f>
      </x:c>
      <x:c r="L35" s="5" t="inlineStr">
        <x:is>
          <x:t xml:space="preserve"/>
        </x:is>
      </x:c>
    </x:row>
    <x:row r="36" ht="42" customHeight="1">
      <x:c r="A36" s="5" t="inlineStr">
        <x:is>
          <x:t xml:space="preserve">Recovery &amp; Biology</x:t>
        </x:is>
      </x:c>
      <x:c r="B36" s="5" t="inlineStr">
        <x:is>
          <x:t xml:space="preserve">Hydro Battery Module</x:t>
        </x:is>
      </x:c>
      <x:c r="C36" s="5" t="inlineStr">
        <x:is>
          <x:t xml:space="preserve">Energy Recovery</x:t>
        </x:is>
      </x:c>
      <x:c r="D36" s="5" t="inlineStr">
        <x:is>
          <x:t xml:space="preserve">Rectifier / charge controller</x:t>
        </x:is>
      </x:c>
      <x:c r="E36" s="5" t="inlineStr">
        <x:is>
          <x:t xml:space="preserve">DC bus to battery/inverter</x:t>
        </x:is>
      </x:c>
      <x:c r="F36" s="10" t="inlineStr">
        <x:is>
          <x:t xml:space="preserve"/>
        </x:is>
      </x:c>
      <x:c r="G36" s="10" t="inlineStr">
        <x:is>
          <x:t xml:space="preserve"/>
        </x:is>
      </x:c>
      <x:c r="H36" s="5" t="inlineStr">
        <x:is>
          <x:t xml:space="preserve">Electrical</x:t>
        </x:is>
      </x:c>
      <x:c r="I36" s="10" t="inlineStr">
        <x:is>
          <x:t xml:space="preserve">Phase 2</x:t>
        </x:is>
      </x:c>
      <x:c r="J36" s="11" t="inlineStr">
        <x:is>
          <x:t xml:space="preserve"/>
        </x:is>
      </x:c>
      <x:c r="K36" s="6">
        <x:f>IF(AND(ISNUMBER(F36),ISNUMBER(J36)),F36*J36,"")</x:f>
      </x:c>
      <x:c r="L36" s="5" t="inlineStr">
        <x:is>
          <x:t xml:space="preserve"/>
        </x:is>
      </x:c>
    </x:row>
    <x:row r="37" ht="42" customHeight="1">
      <x:c r="A37" s="5" t="inlineStr">
        <x:is>
          <x:t xml:space="preserve">Recovery &amp; Biology</x:t>
        </x:is>
      </x:c>
      <x:c r="B37" s="5" t="inlineStr">
        <x:is>
          <x:t xml:space="preserve">Hydro Battery Module</x:t>
        </x:is>
      </x:c>
      <x:c r="C37" s="5" t="inlineStr">
        <x:is>
          <x:t xml:space="preserve">Energy Recovery</x:t>
        </x:is>
      </x:c>
      <x:c r="D37" s="5" t="inlineStr">
        <x:is>
          <x:t xml:space="preserve">Flow meter + level sensors</x:t>
        </x:is>
      </x:c>
      <x:c r="E37" s="5" t="inlineStr">
        <x:is>
          <x:t xml:space="preserve">MRV + control</x:t>
        </x:is>
      </x:c>
      <x:c r="F37" s="10" t="inlineStr">
        <x:is>
          <x:t xml:space="preserve"/>
        </x:is>
      </x:c>
      <x:c r="G37" s="10" t="inlineStr">
        <x:is>
          <x:t xml:space="preserve"/>
        </x:is>
      </x:c>
      <x:c r="H37" s="5" t="inlineStr">
        <x:is>
          <x:t xml:space="preserve">Controls/Electrical</x:t>
        </x:is>
      </x:c>
      <x:c r="I37" s="10" t="inlineStr">
        <x:is>
          <x:t xml:space="preserve">Phase 2</x:t>
        </x:is>
      </x:c>
      <x:c r="J37" s="11" t="inlineStr">
        <x:is>
          <x:t xml:space="preserve"/>
        </x:is>
      </x:c>
      <x:c r="K37" s="6">
        <x:f>IF(AND(ISNUMBER(F37),ISNUMBER(J37)),F37*J37,"")</x:f>
      </x:c>
      <x:c r="L37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22" customWidth="1"/>
    <x:col min="4" max="4" width="30" customWidth="1"/>
    <x:col min="5" max="5" width="40" customWidth="1"/>
    <x:col min="6" max="6" width="6" customWidth="1"/>
    <x:col min="7" max="7" width="8" customWidth="1"/>
    <x:col min="8" max="8" width="18" customWidth="1"/>
    <x:col min="9" max="9" width="10" customWidth="1"/>
    <x:col min="10" max="10" width="16" customWidth="1"/>
    <x:col min="11" max="11" width="14" customWidth="1"/>
    <x:col min="12" max="12" width="22" customWidth="1"/>
  </x:cols>
  <x:sheetData>
    <x:row r="1" ht="28" customHeight="1">
      <x:c r="A1" s="9" t="inlineStr">
        <x:is>
          <x:t xml:space="preserve">Package</x:t>
        </x:is>
      </x:c>
      <x:c r="B1" s="9" t="inlineStr">
        <x:is>
          <x:t xml:space="preserve">Module</x:t>
        </x:is>
      </x:c>
      <x:c r="C1" s="9" t="inlineStr">
        <x:is>
          <x:t xml:space="preserve">Subsystem</x:t>
        </x:is>
      </x:c>
      <x:c r="D1" s="9" t="inlineStr">
        <x:is>
          <x:t xml:space="preserve">Item</x:t>
        </x:is>
      </x:c>
      <x:c r="E1" s="9" t="inlineStr">
        <x:is>
          <x:t xml:space="preserve">Spec / Notes</x:t>
        </x:is>
      </x:c>
      <x:c r="F1" s="9" t="inlineStr">
        <x:is>
          <x:t xml:space="preserve">Qty</x:t>
        </x:is>
      </x:c>
      <x:c r="G1" s="9" t="inlineStr">
        <x:is>
          <x:t xml:space="preserve">Unit</x:t>
        </x:is>
      </x:c>
      <x:c r="H1" s="9" t="inlineStr">
        <x:is>
          <x:t xml:space="preserve">Supplier Class</x:t>
        </x:is>
      </x:c>
      <x:c r="I1" s="9" t="inlineStr">
        <x:is>
          <x:t xml:space="preserve">Priority</x:t>
        </x:is>
      </x:c>
      <x:c r="J1" s="9" t="inlineStr">
        <x:is>
          <x:t xml:space="preserve">Est Unit Cost ($)</x:t>
        </x:is>
      </x:c>
      <x:c r="K1" s="9" t="inlineStr">
        <x:is>
          <x:t xml:space="preserve">Est Total ($)</x:t>
        </x:is>
      </x:c>
      <x:c r="L1" s="9" t="inlineStr">
        <x:is>
          <x:t xml:space="preserve">Notes / Link</x:t>
        </x:is>
      </x:c>
    </x:row>
    <x:row r="2" ht="42" customHeight="1">
      <x:c r="A2" s="5" t="inlineStr">
        <x:is>
          <x:t xml:space="preserve">Dome</x:t>
        </x:is>
      </x:c>
      <x:c r="B2" s="5" t="inlineStr">
        <x:is>
          <x:t xml:space="preserve">Full Dome (Phase 2+)</x:t>
        </x:is>
      </x:c>
      <x:c r="C2" s="5" t="inlineStr">
        <x:is>
          <x:t xml:space="preserve">Irrigation &amp; Thermal</x:t>
        </x:is>
      </x:c>
      <x:c r="D2" s="5" t="inlineStr">
        <x:is>
          <x:t xml:space="preserve">Gravity-fed drip lines</x:t>
        </x:is>
      </x:c>
      <x:c r="E2" s="5" t="inlineStr">
        <x:is>
          <x:t xml:space="preserve">Primary irrigation delivery</x:t>
        </x:is>
      </x:c>
      <x:c r="F2" s="10" t="inlineStr">
        <x:is>
          <x:t xml:space="preserve"/>
        </x:is>
      </x:c>
      <x:c r="G2" s="10" t="inlineStr">
        <x:is>
          <x:t xml:space="preserve"/>
        </x:is>
      </x:c>
      <x:c r="H2" s="5" t="inlineStr">
        <x:is>
          <x:t xml:space="preserve">Plumbing</x:t>
        </x:is>
      </x:c>
      <x:c r="I2" s="10" t="inlineStr">
        <x:is>
          <x:t xml:space="preserve">Phase 2</x:t>
        </x:is>
      </x:c>
      <x:c r="J2" s="11" t="inlineStr">
        <x:is>
          <x:t xml:space="preserve"/>
        </x:is>
      </x:c>
      <x:c r="K2" s="6">
        <x:f>IF(AND(ISNUMBER(F2),ISNUMBER(J2)),F2*J2,"")</x:f>
      </x:c>
      <x:c r="L2" s="5" t="inlineStr">
        <x:is>
          <x:t xml:space="preserve"/>
        </x:is>
      </x:c>
    </x:row>
    <x:row r="3" ht="42" customHeight="1">
      <x:c r="A3" s="5" t="inlineStr">
        <x:is>
          <x:t xml:space="preserve">Dome</x:t>
        </x:is>
      </x:c>
      <x:c r="B3" s="5" t="inlineStr">
        <x:is>
          <x:t xml:space="preserve">Full Dome (Phase 2+)</x:t>
        </x:is>
      </x:c>
      <x:c r="C3" s="5" t="inlineStr">
        <x:is>
          <x:t xml:space="preserve">Irrigation &amp; Thermal</x:t>
        </x:is>
      </x:c>
      <x:c r="D3" s="5" t="inlineStr">
        <x:is>
          <x:t xml:space="preserve">Subsurface drip tubing</x:t>
        </x:is>
      </x:c>
      <x:c r="E3" s="5" t="inlineStr">
        <x:is>
          <x:t xml:space="preserve">Soil beds; reduces evaporation</x:t>
        </x:is>
      </x:c>
      <x:c r="F3" s="10" t="inlineStr">
        <x:is>
          <x:t xml:space="preserve"/>
        </x:is>
      </x:c>
      <x:c r="G3" s="10" t="inlineStr">
        <x:is>
          <x:t xml:space="preserve"/>
        </x:is>
      </x:c>
      <x:c r="H3" s="5" t="inlineStr">
        <x:is>
          <x:t xml:space="preserve">Plumbing</x:t>
        </x:is>
      </x:c>
      <x:c r="I3" s="10" t="inlineStr">
        <x:is>
          <x:t xml:space="preserve">Phase 2</x:t>
        </x:is>
      </x:c>
      <x:c r="J3" s="11" t="inlineStr">
        <x:is>
          <x:t xml:space="preserve"/>
        </x:is>
      </x:c>
      <x:c r="K3" s="6">
        <x:f>IF(AND(ISNUMBER(F3),ISNUMBER(J3)),F3*J3,"")</x:f>
      </x:c>
      <x:c r="L3" s="5" t="inlineStr">
        <x:is>
          <x:t xml:space="preserve"/>
        </x:is>
      </x:c>
    </x:row>
    <x:row r="4" ht="42" customHeight="1">
      <x:c r="A4" s="5" t="inlineStr">
        <x:is>
          <x:t xml:space="preserve">Dome</x:t>
        </x:is>
      </x:c>
      <x:c r="B4" s="5" t="inlineStr">
        <x:is>
          <x:t xml:space="preserve">Full Dome (Phase 2+)</x:t>
        </x:is>
      </x:c>
      <x:c r="C4" s="5" t="inlineStr">
        <x:is>
          <x:t xml:space="preserve">Irrigation &amp; Thermal</x:t>
        </x:is>
      </x:c>
      <x:c r="D4" s="5" t="inlineStr">
        <x:is>
          <x:t xml:space="preserve">Soil moisture probes (optional)</x:t>
        </x:is>
      </x:c>
      <x:c r="E4" s="5" t="inlineStr">
        <x:is>
          <x:t xml:space="preserve">Spot checks / logging</x:t>
        </x:is>
      </x:c>
      <x:c r="F4" s="10" t="inlineStr">
        <x:is>
          <x:t xml:space="preserve"/>
        </x:is>
      </x:c>
      <x:c r="G4" s="10" t="inlineStr">
        <x:is>
          <x:t xml:space="preserve"/>
        </x:is>
      </x:c>
      <x:c r="H4" s="5" t="inlineStr">
        <x:is>
          <x:t xml:space="preserve">Controls/Electrical</x:t>
        </x:is>
      </x:c>
      <x:c r="I4" s="10" t="inlineStr">
        <x:is>
          <x:t xml:space="preserve">Phase 2</x:t>
        </x:is>
      </x:c>
      <x:c r="J4" s="11" t="inlineStr">
        <x:is>
          <x:t xml:space="preserve"/>
        </x:is>
      </x:c>
      <x:c r="K4" s="6">
        <x:f>IF(AND(ISNUMBER(F4),ISNUMBER(J4)),F4*J4,"")</x:f>
      </x:c>
      <x:c r="L4" s="5" t="inlineStr">
        <x:is>
          <x:t xml:space="preserve"/>
        </x:is>
      </x:c>
    </x:row>
    <x:row r="5" ht="42" customHeight="1">
      <x:c r="A5" s="5" t="inlineStr">
        <x:is>
          <x:t xml:space="preserve">Dome</x:t>
        </x:is>
      </x:c>
      <x:c r="B5" s="5" t="inlineStr">
        <x:is>
          <x:t xml:space="preserve">Full Dome (Phase 2+)</x:t>
        </x:is>
      </x:c>
      <x:c r="C5" s="5" t="inlineStr">
        <x:is>
          <x:t xml:space="preserve">Irrigation &amp; Thermal</x:t>
        </x:is>
      </x:c>
      <x:c r="D5" s="5" t="inlineStr">
        <x:is>
          <x:t xml:space="preserve">Thermal water mass tanks/barrels</x:t>
        </x:is>
      </x:c>
      <x:c r="E5" s="5" t="inlineStr">
        <x:is>
          <x:t xml:space="preserve">Temperature buffering</x:t>
        </x:is>
      </x:c>
      <x:c r="F5" s="10" t="inlineStr">
        <x:is>
          <x:t xml:space="preserve"/>
        </x:is>
      </x:c>
      <x:c r="G5" s="10" t="inlineStr">
        <x:is>
          <x:t xml:space="preserve"/>
        </x:is>
      </x:c>
      <x:c r="H5" s="5" t="inlineStr">
        <x:is>
          <x:t xml:space="preserve">Plumbing</x:t>
        </x:is>
      </x:c>
      <x:c r="I5" s="10" t="inlineStr">
        <x:is>
          <x:t xml:space="preserve">Phase 2</x:t>
        </x:is>
      </x:c>
      <x:c r="J5" s="11" t="inlineStr">
        <x:is>
          <x:t xml:space="preserve"/>
        </x:is>
      </x:c>
      <x:c r="K5" s="6">
        <x:f>IF(AND(ISNUMBER(F5),ISNUMBER(J5)),F5*J5,"")</x:f>
      </x:c>
      <x:c r="L5" s="5" t="inlineStr">
        <x:is>
          <x:t xml:space="preserve"/>
        </x:is>
      </x:c>
    </x:row>
    <x:row r="6" ht="42" customHeight="1">
      <x:c r="A6" s="5" t="inlineStr">
        <x:is>
          <x:t xml:space="preserve">Dome</x:t>
        </x:is>
      </x:c>
      <x:c r="B6" s="5" t="inlineStr">
        <x:is>
          <x:t xml:space="preserve">Full Dome (Phase 2+)</x:t>
        </x:is>
      </x:c>
      <x:c r="C6" s="5" t="inlineStr">
        <x:is>
          <x:t xml:space="preserve">Irrigation &amp; Thermal</x:t>
        </x:is>
      </x:c>
      <x:c r="D6" s="5" t="inlineStr">
        <x:is>
          <x:t xml:space="preserve">Overflow / infiltration routing</x:t>
        </x:is>
      </x:c>
      <x:c r="E6" s="5" t="inlineStr">
        <x:is>
          <x:t xml:space="preserve">Safe discharge</x:t>
        </x:is>
      </x:c>
      <x:c r="F6" s="10" t="inlineStr">
        <x:is>
          <x:t xml:space="preserve"/>
        </x:is>
      </x:c>
      <x:c r="G6" s="10" t="inlineStr">
        <x:is>
          <x:t xml:space="preserve"/>
        </x:is>
      </x:c>
      <x:c r="H6" s="5" t="inlineStr">
        <x:is>
          <x:t xml:space="preserve">Plumbing</x:t>
        </x:is>
      </x:c>
      <x:c r="I6" s="10" t="inlineStr">
        <x:is>
          <x:t xml:space="preserve">Phase 2</x:t>
        </x:is>
      </x:c>
      <x:c r="J6" s="11" t="inlineStr">
        <x:is>
          <x:t xml:space="preserve"/>
        </x:is>
      </x:c>
      <x:c r="K6" s="6">
        <x:f>IF(AND(ISNUMBER(F6),ISNUMBER(J6)),F6*J6,"")</x:f>
      </x:c>
      <x:c r="L6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0" customWidth="1"/>
  </x:cols>
  <x:sheetData>
    <x:row r="1">
      <x:c r="A1" s="13" t="inlineStr">
        <x:is>
          <x:t xml:space="preserve">Sources / Inputs Used for this BOM</x:t>
        </x:is>
      </x:c>
    </x:row>
    <x:row r="3">
      <x:c r="A3" s="3" t="inlineStr">
        <x:is>
          <x:t xml:space="preserve">1) ABCFarmsIL – Asset &amp; Data Profile (Uptake Exploratory Conversation) (PDF)</x:t>
        </x:is>
      </x:c>
    </x:row>
    <x:row r="4">
      <x:c r="A4" s="3" t="inlineStr">
        <x:is>
          <x:t xml:space="preserve">2) ABCFarmsIL – VC Supplemental Memo (PDF)</x:t>
        </x:is>
      </x:c>
    </x:row>
    <x:row r="5">
      <x:c r="A5" s="3" t="inlineStr">
        <x:is>
          <x:t xml:space="preserve">3) LUMENFIELD Hydro Battery Module — Conceptual Infrastructure Summary (Markdown)</x:t>
        </x:is>
      </x:c>
    </x:row>
    <x:row r="6">
      <x:c r="A6" s="3" t="inlineStr">
        <x:is>
          <x:t xml:space="preserve">4) 'Perfect — clean BOM + Timeline sheet…' (Markdown)</x:t>
        </x:is>
      </x:c>
    </x:row>
  </x:sheetData>
  <x:pageMargins left="0.7" right="0.7" top="0.75" bottom="0.75" header="0.3" footer="0.3"/>
</x:worksheet>
</file>