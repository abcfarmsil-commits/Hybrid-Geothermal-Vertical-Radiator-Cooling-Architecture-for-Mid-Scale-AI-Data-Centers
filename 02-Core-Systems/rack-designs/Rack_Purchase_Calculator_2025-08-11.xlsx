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PerRack_BOM" sheetId="2" state="visible" r:id="rId2"/>
    <sheet xmlns:r="http://schemas.openxmlformats.org/officeDocument/2006/relationships" name="Shared_BOM" sheetId="3" state="visible" r:id="rId3"/>
    <sheet xmlns:r="http://schemas.openxmlformats.org/officeDocument/2006/relationships" name="Purchase_List" sheetId="4" state="visible" r:id="rId4"/>
    <sheet xmlns:r="http://schemas.openxmlformats.org/officeDocument/2006/relationships" name="Power_Water_Siz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Rack Purchase Calculator — Inputs</t>
        </is>
      </c>
    </row>
    <row r="3">
      <c r="A3" t="inlineStr">
        <is>
          <t>Slim-16 racks (count)</t>
        </is>
      </c>
      <c r="B3" t="n">
        <v>0</v>
      </c>
    </row>
    <row r="4">
      <c r="A4" t="inlineStr">
        <is>
          <t>Tall-20 racks (count)</t>
        </is>
      </c>
      <c r="B4" t="n">
        <v>0</v>
      </c>
    </row>
    <row r="6">
      <c r="A6" t="inlineStr">
        <is>
          <t>LED power per level (W)</t>
        </is>
      </c>
      <c r="B6" t="n">
        <v>12</v>
      </c>
    </row>
    <row r="7">
      <c r="A7" t="inlineStr">
        <is>
          <t>Max racks ON simultaneously (for pump sizing)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36" customWidth="1" min="3" max="3"/>
    <col width="12" customWidth="1" min="4" max="4"/>
    <col width="28" customWidth="1" min="5" max="5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Spec</t>
        </is>
      </c>
      <c r="D1" s="2" t="inlineStr">
        <is>
          <t>Qty</t>
        </is>
      </c>
      <c r="E1" s="2" t="inlineStr">
        <is>
          <t>Notes</t>
        </is>
      </c>
    </row>
    <row r="2">
      <c r="A2" t="inlineStr">
        <is>
          <t>Frame</t>
        </is>
      </c>
      <c r="B2" t="inlineStr">
        <is>
          <t>Uprights</t>
        </is>
      </c>
      <c r="C2" t="inlineStr">
        <is>
          <t>Aluminum angle 1.5"x1.5"x1/8"</t>
        </is>
      </c>
      <c r="D2" t="n">
        <v>4</v>
      </c>
      <c r="E2" t="inlineStr">
        <is>
          <t>68" tall</t>
        </is>
      </c>
    </row>
    <row r="3">
      <c r="A3" t="inlineStr">
        <is>
          <t>Frame</t>
        </is>
      </c>
      <c r="B3" t="inlineStr">
        <is>
          <t>Base rectangle</t>
        </is>
      </c>
      <c r="C3" t="inlineStr">
        <is>
          <t>Al angle 1.5"x1.5"x1/8"</t>
        </is>
      </c>
      <c r="D3" t="n">
        <v>4</v>
      </c>
      <c r="E3" t="inlineStr">
        <is>
          <t>(2)×25.5" + (2)×18.8"</t>
        </is>
      </c>
    </row>
    <row r="4">
      <c r="A4" t="inlineStr">
        <is>
          <t>Frame</t>
        </is>
      </c>
      <c r="B4" t="inlineStr">
        <is>
          <t>Top rectangle</t>
        </is>
      </c>
      <c r="C4" t="inlineStr">
        <is>
          <t>Al angle 1.5"x1.5"x1/8"</t>
        </is>
      </c>
      <c r="D4" t="n">
        <v>4</v>
      </c>
      <c r="E4" t="inlineStr">
        <is>
          <t>(2)×25.5" + (2)×18.8"</t>
        </is>
      </c>
    </row>
    <row r="5">
      <c r="A5" t="inlineStr">
        <is>
          <t>Slides</t>
        </is>
      </c>
      <c r="B5" t="inlineStr">
        <is>
          <t>Tray slide angles</t>
        </is>
      </c>
      <c r="C5" t="inlineStr">
        <is>
          <t>Al angle 1"x1"x1/16"</t>
        </is>
      </c>
      <c r="D5" t="n">
        <v>32</v>
      </c>
      <c r="E5" t="inlineStr">
        <is>
          <t>23.0" long; two per level</t>
        </is>
      </c>
    </row>
    <row r="6">
      <c r="A6" t="inlineStr">
        <is>
          <t>Bracing</t>
        </is>
      </c>
      <c r="B6" t="inlineStr">
        <is>
          <t>Mid cross braces</t>
        </is>
      </c>
      <c r="C6" t="inlineStr">
        <is>
          <t>Al flat 1.5"x1/8"</t>
        </is>
      </c>
      <c r="D6" t="n">
        <v>2</v>
      </c>
      <c r="E6" t="inlineStr">
        <is>
          <t>18.5" (front &amp; rear)</t>
        </is>
      </c>
    </row>
    <row r="7">
      <c r="A7" t="inlineStr">
        <is>
          <t>Stops</t>
        </is>
      </c>
      <c r="B7" t="inlineStr">
        <is>
          <t>Rear tray stops</t>
        </is>
      </c>
      <c r="C7" t="inlineStr">
        <is>
          <t>Al flat 1"x1/8"</t>
        </is>
      </c>
      <c r="D7" t="n">
        <v>16</v>
      </c>
      <c r="E7" t="inlineStr">
        <is>
          <t>15.5" (optional)</t>
        </is>
      </c>
    </row>
    <row r="8">
      <c r="A8" t="inlineStr">
        <is>
          <t>Casters</t>
        </is>
      </c>
      <c r="B8" t="inlineStr">
        <is>
          <t>Swivel (2 lock, 2 swivel)</t>
        </is>
      </c>
      <c r="C8" t="inlineStr">
        <is>
          <t>5" TPR, top-plate</t>
        </is>
      </c>
      <c r="D8" t="n">
        <v>4</v>
      </c>
      <c r="E8" t="inlineStr">
        <is>
          <t>≥250 lb each</t>
        </is>
      </c>
    </row>
    <row r="9">
      <c r="A9" t="inlineStr">
        <is>
          <t>Lighting</t>
        </is>
      </c>
      <c r="B9" t="inlineStr">
        <is>
          <t>LED bars (IP65)</t>
        </is>
      </c>
      <c r="C9" t="inlineStr">
        <is>
          <t>20–22"; 12–18 W; 24 VDC</t>
        </is>
      </c>
      <c r="D9" t="n">
        <v>16</v>
      </c>
      <c r="E9" t="inlineStr">
        <is>
          <t>One per level</t>
        </is>
      </c>
    </row>
    <row r="10">
      <c r="A10" t="inlineStr">
        <is>
          <t>Lighting</t>
        </is>
      </c>
      <c r="B10" t="inlineStr">
        <is>
          <t>Angle brackets</t>
        </is>
      </c>
      <c r="C10" t="inlineStr">
        <is>
          <t>15° tilt, SS low-profile</t>
        </is>
      </c>
      <c r="D10" t="n">
        <v>16</v>
      </c>
      <c r="E10" t="inlineStr">
        <is>
          <t>Mount to underside of slide above (front)</t>
        </is>
      </c>
    </row>
    <row r="11">
      <c r="A11" t="inlineStr">
        <is>
          <t>Lighting</t>
        </is>
      </c>
      <c r="B11" t="inlineStr">
        <is>
          <t>Wiring harness</t>
        </is>
      </c>
      <c r="C11" t="inlineStr">
        <is>
          <t>24 VDC trunk + QD</t>
        </is>
      </c>
      <c r="D11" t="n">
        <v>1</v>
      </c>
      <c r="E11" t="inlineStr">
        <is>
          <t>16 taps</t>
        </is>
      </c>
    </row>
    <row r="12">
      <c r="A12" t="inlineStr">
        <is>
          <t>Irrigation</t>
        </is>
      </c>
      <c r="B12" t="inlineStr">
        <is>
          <t>Rear rail/level</t>
        </is>
      </c>
      <c r="C12" t="inlineStr">
        <is>
          <t>1/4" poly + 3 misters</t>
        </is>
      </c>
      <c r="D12" t="n">
        <v>16</v>
      </c>
      <c r="E12" t="inlineStr">
        <is>
          <t>Anti-drip 7–10 L/hr @ 30–40 psi</t>
        </is>
      </c>
    </row>
    <row r="13">
      <c r="A13" t="inlineStr">
        <is>
          <t>Irrigation</t>
        </is>
      </c>
      <c r="B13" t="inlineStr">
        <is>
          <t>Vertical header</t>
        </is>
      </c>
      <c r="C13" t="inlineStr">
        <is>
          <t>1/2" PEX or PVC</t>
        </is>
      </c>
      <c r="D13" t="n">
        <v>1</v>
      </c>
      <c r="E13" t="inlineStr">
        <is>
          <t>Feeds all levels</t>
        </is>
      </c>
    </row>
    <row r="14">
      <c r="A14" t="inlineStr">
        <is>
          <t>Irrigation</t>
        </is>
      </c>
      <c r="B14" t="inlineStr">
        <is>
          <t>Solenoid valve</t>
        </is>
      </c>
      <c r="C14" t="inlineStr">
        <is>
          <t>24 VDC; 3/4" NPT</t>
        </is>
      </c>
      <c r="D14" t="n">
        <v>1</v>
      </c>
      <c r="E14" t="inlineStr">
        <is>
          <t>One per rack</t>
        </is>
      </c>
    </row>
    <row r="15">
      <c r="A15" t="inlineStr">
        <is>
          <t>Irrigation</t>
        </is>
      </c>
      <c r="B15" t="inlineStr">
        <is>
          <t>PRV / regulator</t>
        </is>
      </c>
      <c r="C15" t="inlineStr">
        <is>
          <t>30–40 psi inline</t>
        </is>
      </c>
      <c r="D15" t="n">
        <v>1</v>
      </c>
      <c r="E15" t="inlineStr">
        <is>
          <t>Per rack</t>
        </is>
      </c>
    </row>
    <row r="16">
      <c r="A16" t="inlineStr">
        <is>
          <t>Irrigation</t>
        </is>
      </c>
      <c r="B16" t="inlineStr">
        <is>
          <t>Quick-connect</t>
        </is>
      </c>
      <c r="C16" t="inlineStr">
        <is>
          <t>3/4" or 1/2" dry-break</t>
        </is>
      </c>
      <c r="D16" t="n">
        <v>1</v>
      </c>
      <c r="E16" t="inlineStr">
        <is>
          <t>Main feed to rack</t>
        </is>
      </c>
    </row>
    <row r="17">
      <c r="A17" t="inlineStr">
        <is>
          <t>Irrigation</t>
        </is>
      </c>
      <c r="B17" t="inlineStr">
        <is>
          <t>Filter at rack</t>
        </is>
      </c>
      <c r="C17" t="inlineStr">
        <is>
          <t>100–150 mesh inline</t>
        </is>
      </c>
      <c r="D17" t="n">
        <v>1</v>
      </c>
      <c r="E17" t="inlineStr">
        <is>
          <t>Protects nozzles</t>
        </is>
      </c>
    </row>
    <row r="18">
      <c r="A18" t="inlineStr">
        <is>
          <t>Protection</t>
        </is>
      </c>
      <c r="B18" t="inlineStr">
        <is>
          <t>Drip guard (clear)</t>
        </is>
      </c>
      <c r="C18" t="inlineStr">
        <is>
          <t>Polycarbonate ~3"x22"</t>
        </is>
      </c>
      <c r="D18" t="n">
        <v>16</v>
      </c>
      <c r="E18" t="inlineStr">
        <is>
          <t>Above LED per level</t>
        </is>
      </c>
    </row>
    <row r="19">
      <c r="A19" t="inlineStr">
        <is>
          <t>Electrical</t>
        </is>
      </c>
      <c r="B19" t="inlineStr">
        <is>
          <t>Power supply</t>
        </is>
      </c>
      <c r="C19" t="inlineStr">
        <is>
          <t>24 VDC 240–320 W</t>
        </is>
      </c>
      <c r="D19" t="n">
        <v>1</v>
      </c>
      <c r="E19" t="inlineStr">
        <is>
          <t>Size to LED choice</t>
        </is>
      </c>
    </row>
    <row r="20">
      <c r="A20" t="inlineStr">
        <is>
          <t>Fasteners</t>
        </is>
      </c>
      <c r="B20" t="inlineStr">
        <is>
          <t>Rivets/bolts</t>
        </is>
      </c>
      <c r="C20" t="inlineStr">
        <is>
          <t>SS assorted</t>
        </is>
      </c>
      <c r="D20" t="inlineStr">
        <is>
          <t>~220</t>
        </is>
      </c>
      <c r="E20" t="inlineStr">
        <is>
          <t>Slides/LED/braces/casters</t>
        </is>
      </c>
    </row>
    <row r="21">
      <c r="A21" t="inlineStr">
        <is>
          <t>Labels</t>
        </is>
      </c>
      <c r="B21" t="inlineStr">
        <is>
          <t>Channel/clip labels</t>
        </is>
      </c>
      <c r="C21" t="inlineStr">
        <is>
          <t>Tray ID holders</t>
        </is>
      </c>
      <c r="D21" t="n">
        <v>16</v>
      </c>
      <c r="E21" t="inlineStr">
        <is>
          <t>Optional</t>
        </is>
      </c>
    </row>
    <row r="22">
      <c r="A22" t="inlineStr">
        <is>
          <t>---</t>
        </is>
      </c>
    </row>
    <row r="23">
      <c r="A23" s="2" t="inlineStr">
        <is>
          <t>Category</t>
        </is>
      </c>
      <c r="B23" s="2" t="inlineStr">
        <is>
          <t>Item</t>
        </is>
      </c>
      <c r="C23" s="2" t="inlineStr">
        <is>
          <t>Spec</t>
        </is>
      </c>
      <c r="D23" s="2" t="inlineStr">
        <is>
          <t>Qty</t>
        </is>
      </c>
      <c r="E23" s="2" t="inlineStr">
        <is>
          <t>Notes</t>
        </is>
      </c>
    </row>
    <row r="24">
      <c r="A24" t="inlineStr">
        <is>
          <t>Frame</t>
        </is>
      </c>
      <c r="B24" t="inlineStr">
        <is>
          <t>Uprights</t>
        </is>
      </c>
      <c r="C24" t="inlineStr">
        <is>
          <t>Aluminum angle 1.5"x1.5"x1/8"</t>
        </is>
      </c>
      <c r="D24" t="n">
        <v>4</v>
      </c>
      <c r="E24" t="inlineStr">
        <is>
          <t>82" tall</t>
        </is>
      </c>
    </row>
    <row r="25">
      <c r="A25" t="inlineStr">
        <is>
          <t>Frame</t>
        </is>
      </c>
      <c r="B25" t="inlineStr">
        <is>
          <t>Base rectangle</t>
        </is>
      </c>
      <c r="C25" t="inlineStr">
        <is>
          <t>Al angle 1.5"x1.5"x1/8"</t>
        </is>
      </c>
      <c r="D25" t="n">
        <v>4</v>
      </c>
      <c r="E25" t="inlineStr">
        <is>
          <t>(2)×25.5" + (2)×18.8"</t>
        </is>
      </c>
    </row>
    <row r="26">
      <c r="A26" t="inlineStr">
        <is>
          <t>Frame</t>
        </is>
      </c>
      <c r="B26" t="inlineStr">
        <is>
          <t>Top rectangle</t>
        </is>
      </c>
      <c r="C26" t="inlineStr">
        <is>
          <t>Al angle 1.5"x1.5"x1/8"</t>
        </is>
      </c>
      <c r="D26" t="n">
        <v>4</v>
      </c>
      <c r="E26" t="inlineStr">
        <is>
          <t>(2)×25.5" + (2)×18.8"</t>
        </is>
      </c>
    </row>
    <row r="27">
      <c r="A27" t="inlineStr">
        <is>
          <t>Slides</t>
        </is>
      </c>
      <c r="B27" t="inlineStr">
        <is>
          <t>Tray slide angles</t>
        </is>
      </c>
      <c r="C27" t="inlineStr">
        <is>
          <t>Al angle 1"x1"x1/16"</t>
        </is>
      </c>
      <c r="D27" t="n">
        <v>40</v>
      </c>
      <c r="E27" t="inlineStr">
        <is>
          <t>23.0" long; two per level</t>
        </is>
      </c>
    </row>
    <row r="28">
      <c r="A28" t="inlineStr">
        <is>
          <t>Bracing</t>
        </is>
      </c>
      <c r="B28" t="inlineStr">
        <is>
          <t>Mid cross braces</t>
        </is>
      </c>
      <c r="C28" t="inlineStr">
        <is>
          <t>Al flat 1.5"x1/8"</t>
        </is>
      </c>
      <c r="D28" t="n">
        <v>2</v>
      </c>
      <c r="E28" t="inlineStr">
        <is>
          <t>18.5"</t>
        </is>
      </c>
    </row>
    <row r="29">
      <c r="A29" t="inlineStr">
        <is>
          <t>Stops</t>
        </is>
      </c>
      <c r="B29" t="inlineStr">
        <is>
          <t>Rear tray stops</t>
        </is>
      </c>
      <c r="C29" t="inlineStr">
        <is>
          <t>Al flat 1"x1/8"</t>
        </is>
      </c>
      <c r="D29" t="n">
        <v>20</v>
      </c>
      <c r="E29" t="inlineStr">
        <is>
          <t>15.5" (optional)</t>
        </is>
      </c>
    </row>
    <row r="30">
      <c r="A30" t="inlineStr">
        <is>
          <t>Casters</t>
        </is>
      </c>
      <c r="B30" t="inlineStr">
        <is>
          <t>Swivel (2 lock, 2 swivel)</t>
        </is>
      </c>
      <c r="C30" t="inlineStr">
        <is>
          <t>5" TPR, top-plate</t>
        </is>
      </c>
      <c r="D30" t="n">
        <v>4</v>
      </c>
      <c r="E30" t="inlineStr">
        <is>
          <t>≥250 lb each</t>
        </is>
      </c>
    </row>
    <row r="31">
      <c r="A31" t="inlineStr">
        <is>
          <t>Lighting</t>
        </is>
      </c>
      <c r="B31" t="inlineStr">
        <is>
          <t>LED bars (IP65)</t>
        </is>
      </c>
      <c r="C31" t="inlineStr">
        <is>
          <t>20–22"; 12–18 W; 24 VDC</t>
        </is>
      </c>
      <c r="D31" t="n">
        <v>20</v>
      </c>
      <c r="E31" t="inlineStr">
        <is>
          <t>One per level</t>
        </is>
      </c>
    </row>
    <row r="32">
      <c r="A32" t="inlineStr">
        <is>
          <t>Lighting</t>
        </is>
      </c>
      <c r="B32" t="inlineStr">
        <is>
          <t>Angle brackets</t>
        </is>
      </c>
      <c r="C32" t="inlineStr">
        <is>
          <t>15° tilt, SS low-profile</t>
        </is>
      </c>
      <c r="D32" t="n">
        <v>20</v>
      </c>
      <c r="E32" t="inlineStr">
        <is>
          <t>Front underside of level above</t>
        </is>
      </c>
    </row>
    <row r="33">
      <c r="A33" t="inlineStr">
        <is>
          <t>Lighting</t>
        </is>
      </c>
      <c r="B33" t="inlineStr">
        <is>
          <t>Wiring harness</t>
        </is>
      </c>
      <c r="C33" t="inlineStr">
        <is>
          <t>24 VDC trunk + QD</t>
        </is>
      </c>
      <c r="D33" t="n">
        <v>1</v>
      </c>
      <c r="E33" t="inlineStr">
        <is>
          <t>20 taps</t>
        </is>
      </c>
    </row>
    <row r="34">
      <c r="A34" t="inlineStr">
        <is>
          <t>Irrigation</t>
        </is>
      </c>
      <c r="B34" t="inlineStr">
        <is>
          <t>Rear rail/level</t>
        </is>
      </c>
      <c r="C34" t="inlineStr">
        <is>
          <t>1/4" poly + 3 misters</t>
        </is>
      </c>
      <c r="D34" t="n">
        <v>20</v>
      </c>
      <c r="E34" t="inlineStr">
        <is>
          <t>Anti-drip 7–10 L/hr @ 30–40 psi</t>
        </is>
      </c>
    </row>
    <row r="35">
      <c r="A35" t="inlineStr">
        <is>
          <t>Irrigation</t>
        </is>
      </c>
      <c r="B35" t="inlineStr">
        <is>
          <t>Vertical header</t>
        </is>
      </c>
      <c r="C35" t="inlineStr">
        <is>
          <t>1/2" PEX or PVC</t>
        </is>
      </c>
      <c r="D35" t="n">
        <v>1</v>
      </c>
      <c r="E35" t="inlineStr">
        <is>
          <t>Feeds all levels</t>
        </is>
      </c>
    </row>
    <row r="36">
      <c r="A36" t="inlineStr">
        <is>
          <t>Irrigation</t>
        </is>
      </c>
      <c r="B36" t="inlineStr">
        <is>
          <t>Solenoid valve</t>
        </is>
      </c>
      <c r="C36" t="inlineStr">
        <is>
          <t>24 VDC; 3/4" NPT</t>
        </is>
      </c>
      <c r="D36" t="n">
        <v>1</v>
      </c>
      <c r="E36" t="inlineStr">
        <is>
          <t>One per rack</t>
        </is>
      </c>
    </row>
    <row r="37">
      <c r="A37" t="inlineStr">
        <is>
          <t>Irrigation</t>
        </is>
      </c>
      <c r="B37" t="inlineStr">
        <is>
          <t>PRV / regulator</t>
        </is>
      </c>
      <c r="C37" t="inlineStr">
        <is>
          <t>30–40 psi inline</t>
        </is>
      </c>
      <c r="D37" t="n">
        <v>1</v>
      </c>
      <c r="E37" t="inlineStr">
        <is>
          <t>Per rack</t>
        </is>
      </c>
    </row>
    <row r="38">
      <c r="A38" t="inlineStr">
        <is>
          <t>Irrigation</t>
        </is>
      </c>
      <c r="B38" t="inlineStr">
        <is>
          <t>Quick-connect</t>
        </is>
      </c>
      <c r="C38" t="inlineStr">
        <is>
          <t>3/4" or 1/2" dry-break</t>
        </is>
      </c>
      <c r="D38" t="n">
        <v>1</v>
      </c>
      <c r="E38" t="inlineStr">
        <is>
          <t>Main feed to rack</t>
        </is>
      </c>
    </row>
    <row r="39">
      <c r="A39" t="inlineStr">
        <is>
          <t>Irrigation</t>
        </is>
      </c>
      <c r="B39" t="inlineStr">
        <is>
          <t>Filter at rack</t>
        </is>
      </c>
      <c r="C39" t="inlineStr">
        <is>
          <t>100–150 mesh inline</t>
        </is>
      </c>
      <c r="D39" t="n">
        <v>1</v>
      </c>
      <c r="E39" t="inlineStr">
        <is>
          <t>Protects nozzles</t>
        </is>
      </c>
    </row>
    <row r="40">
      <c r="A40" t="inlineStr">
        <is>
          <t>Protection</t>
        </is>
      </c>
      <c r="B40" t="inlineStr">
        <is>
          <t>Drip guard (clear)</t>
        </is>
      </c>
      <c r="C40" t="inlineStr">
        <is>
          <t>Polycarbonate ~3"x22"</t>
        </is>
      </c>
      <c r="D40" t="n">
        <v>20</v>
      </c>
      <c r="E40" t="inlineStr">
        <is>
          <t>Above LED per level</t>
        </is>
      </c>
    </row>
    <row r="41">
      <c r="A41" t="inlineStr">
        <is>
          <t>Electrical</t>
        </is>
      </c>
      <c r="B41" t="inlineStr">
        <is>
          <t>Power supply</t>
        </is>
      </c>
      <c r="C41" t="inlineStr">
        <is>
          <t>24 VDC 320–480 W</t>
        </is>
      </c>
      <c r="D41" t="n">
        <v>1</v>
      </c>
      <c r="E41" t="inlineStr">
        <is>
          <t>Size to LED choice</t>
        </is>
      </c>
    </row>
    <row r="42">
      <c r="A42" t="inlineStr">
        <is>
          <t>Fasteners</t>
        </is>
      </c>
      <c r="B42" t="inlineStr">
        <is>
          <t>Rivets/bolts</t>
        </is>
      </c>
      <c r="C42" t="inlineStr">
        <is>
          <t>SS assorted</t>
        </is>
      </c>
      <c r="D42" t="inlineStr">
        <is>
          <t>~260</t>
        </is>
      </c>
      <c r="E42" t="inlineStr"/>
    </row>
    <row r="43">
      <c r="A43" t="inlineStr">
        <is>
          <t>Labels</t>
        </is>
      </c>
      <c r="B43" t="inlineStr">
        <is>
          <t>Channel/clip labels</t>
        </is>
      </c>
      <c r="C43" t="inlineStr">
        <is>
          <t>Tray ID holders</t>
        </is>
      </c>
      <c r="D43" t="n">
        <v>20</v>
      </c>
      <c r="E43" t="inlineStr">
        <is>
          <t>Optional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44" customWidth="1" min="4" max="4"/>
  </cols>
  <sheetData>
    <row r="1">
      <c r="A1" s="2" t="inlineStr">
        <is>
          <t>Component</t>
        </is>
      </c>
      <c r="B1" s="2" t="inlineStr">
        <is>
          <t>Spec</t>
        </is>
      </c>
      <c r="C1" s="2" t="inlineStr">
        <is>
          <t>Qty</t>
        </is>
      </c>
      <c r="D1" s="2" t="inlineStr">
        <is>
          <t>Notes</t>
        </is>
      </c>
    </row>
    <row r="2">
      <c r="A2" t="inlineStr">
        <is>
          <t>Feed pump</t>
        </is>
      </c>
      <c r="B2" t="inlineStr">
        <is>
          <t>~5 gpm @ 50 psi</t>
        </is>
      </c>
      <c r="C2" t="n">
        <v>1</v>
      </c>
      <c r="D2" t="inlineStr">
        <is>
          <t>Covers 2 racks ON simultaneously + margin</t>
        </is>
      </c>
    </row>
    <row r="3">
      <c r="A3" t="inlineStr">
        <is>
          <t>Primary filter</t>
        </is>
      </c>
      <c r="B3" t="inlineStr">
        <is>
          <t>100 mesh spin-down or disc</t>
        </is>
      </c>
      <c r="C3" t="n">
        <v>1</v>
      </c>
      <c r="D3" t="inlineStr">
        <is>
          <t>Before manifold</t>
        </is>
      </c>
    </row>
    <row r="4">
      <c r="A4" t="inlineStr">
        <is>
          <t>Backflow</t>
        </is>
      </c>
      <c r="B4" t="inlineStr">
        <is>
          <t>RPZ or DCVA per code</t>
        </is>
      </c>
      <c r="C4" t="n">
        <v>1</v>
      </c>
      <c r="D4" t="inlineStr">
        <is>
          <t>Protects potable source</t>
        </is>
      </c>
    </row>
    <row r="5">
      <c r="A5" t="inlineStr">
        <is>
          <t>Manifold header</t>
        </is>
      </c>
      <c r="B5" t="inlineStr">
        <is>
          <t>1" with 6 takeoffs</t>
        </is>
      </c>
      <c r="C5" t="n">
        <v>1</v>
      </c>
      <c r="D5" t="inlineStr">
        <is>
          <t>Ball valve + QC per rack</t>
        </is>
      </c>
    </row>
    <row r="6">
      <c r="A6" t="inlineStr">
        <is>
          <t>Solenoid control</t>
        </is>
      </c>
      <c r="B6" t="inlineStr">
        <is>
          <t>24 VDC outputs</t>
        </is>
      </c>
      <c r="C6" t="n">
        <v>6</v>
      </c>
      <c r="D6" t="inlineStr">
        <is>
          <t>One per rack (timer/PLC/relay)</t>
        </is>
      </c>
    </row>
    <row r="7">
      <c r="A7" t="inlineStr">
        <is>
          <t>Line to rack</t>
        </is>
      </c>
      <c r="B7" t="inlineStr">
        <is>
          <t>3/4" hose + dry-break QC</t>
        </is>
      </c>
      <c r="C7" t="n">
        <v>6</v>
      </c>
      <c r="D7" t="inlineStr">
        <is>
          <t>Quick connect/disconnect</t>
        </is>
      </c>
    </row>
    <row r="8">
      <c r="A8" t="inlineStr">
        <is>
          <t>Bleed/flush</t>
        </is>
      </c>
      <c r="B8" t="inlineStr">
        <is>
          <t>Manual bleeder at end</t>
        </is>
      </c>
      <c r="C8" t="n">
        <v>1</v>
      </c>
      <c r="D8" t="inlineStr">
        <is>
          <t>De-air + flushing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36" customWidth="1" min="3" max="3"/>
    <col width="16" customWidth="1" min="4" max="4"/>
    <col width="16" customWidth="1" min="5" max="5"/>
    <col width="20" customWidth="1" min="6" max="6"/>
    <col width="12" customWidth="1" min="7" max="7"/>
    <col width="16" customWidth="1" min="8" max="8"/>
    <col width="30" customWidth="1" min="9" max="9"/>
  </cols>
  <sheetData>
    <row r="1">
      <c r="A1" s="2" t="inlineStr">
        <is>
          <t>Category</t>
        </is>
      </c>
      <c r="B1" s="2" t="inlineStr">
        <is>
          <t>Item</t>
        </is>
      </c>
      <c r="C1" s="2" t="inlineStr">
        <is>
          <t>Spec</t>
        </is>
      </c>
      <c r="D1" s="2" t="inlineStr">
        <is>
          <t>Qty per Slim-16</t>
        </is>
      </c>
      <c r="E1" s="2" t="inlineStr">
        <is>
          <t>Qty per Tall-20</t>
        </is>
      </c>
      <c r="F1" s="2" t="inlineStr">
        <is>
          <t>Total Qty (by counts)</t>
        </is>
      </c>
      <c r="G1" s="2" t="inlineStr">
        <is>
          <t>Unit Price</t>
        </is>
      </c>
      <c r="H1" s="2" t="inlineStr">
        <is>
          <t>Ext. Price</t>
        </is>
      </c>
      <c r="I1" s="2" t="inlineStr">
        <is>
          <t>Notes</t>
        </is>
      </c>
    </row>
    <row r="2">
      <c r="A2" t="inlineStr">
        <is>
          <t>Frame</t>
        </is>
      </c>
      <c r="B2" t="inlineStr">
        <is>
          <t>Uprights</t>
        </is>
      </c>
      <c r="C2" t="inlineStr">
        <is>
          <t>Aluminum angle 1.5"x1.5"x1/8"</t>
        </is>
      </c>
      <c r="D2" t="n">
        <v>4</v>
      </c>
      <c r="E2" t="n">
        <v>0</v>
      </c>
      <c r="F2">
        <f>D2*Inputs!$B$3+E2*Inputs!$B$4</f>
        <v/>
      </c>
      <c r="H2">
        <f>F2*G2</f>
        <v/>
      </c>
      <c r="I2" t="inlineStr">
        <is>
          <t>68" tall</t>
        </is>
      </c>
    </row>
    <row r="3">
      <c r="A3" t="inlineStr">
        <is>
          <t>Frame</t>
        </is>
      </c>
      <c r="B3" t="inlineStr">
        <is>
          <t>Base rectangle</t>
        </is>
      </c>
      <c r="C3" t="inlineStr">
        <is>
          <t>Al angle 1.5"x1.5"x1/8"</t>
        </is>
      </c>
      <c r="D3" t="n">
        <v>4</v>
      </c>
      <c r="E3" t="n">
        <v>4</v>
      </c>
      <c r="F3">
        <f>D3*Inputs!$B$3+E3*Inputs!$B$4</f>
        <v/>
      </c>
      <c r="H3">
        <f>F3*G3</f>
        <v/>
      </c>
      <c r="I3" t="inlineStr">
        <is>
          <t>(2)×25.5" + (2)×18.8"</t>
        </is>
      </c>
    </row>
    <row r="4">
      <c r="A4" t="inlineStr">
        <is>
          <t>Frame</t>
        </is>
      </c>
      <c r="B4" t="inlineStr">
        <is>
          <t>Top rectangle</t>
        </is>
      </c>
      <c r="C4" t="inlineStr">
        <is>
          <t>Al angle 1.5"x1.5"x1/8"</t>
        </is>
      </c>
      <c r="D4" t="n">
        <v>4</v>
      </c>
      <c r="E4" t="n">
        <v>4</v>
      </c>
      <c r="F4">
        <f>D4*Inputs!$B$3+E4*Inputs!$B$4</f>
        <v/>
      </c>
      <c r="H4">
        <f>F4*G4</f>
        <v/>
      </c>
      <c r="I4" t="inlineStr">
        <is>
          <t>(2)×25.5" + (2)×18.8"</t>
        </is>
      </c>
    </row>
    <row r="5">
      <c r="A5" t="inlineStr">
        <is>
          <t>Slides</t>
        </is>
      </c>
      <c r="B5" t="inlineStr">
        <is>
          <t>Tray slide angles</t>
        </is>
      </c>
      <c r="C5" t="inlineStr">
        <is>
          <t>Al angle 1"x1"x1/16"</t>
        </is>
      </c>
      <c r="D5" t="n">
        <v>32</v>
      </c>
      <c r="E5" t="n">
        <v>40</v>
      </c>
      <c r="F5">
        <f>D5*Inputs!$B$3+E5*Inputs!$B$4</f>
        <v/>
      </c>
      <c r="H5">
        <f>F5*G5</f>
        <v/>
      </c>
      <c r="I5" t="inlineStr">
        <is>
          <t>23.0" long; two per level</t>
        </is>
      </c>
    </row>
    <row r="6">
      <c r="A6" t="inlineStr">
        <is>
          <t>Bracing</t>
        </is>
      </c>
      <c r="B6" t="inlineStr">
        <is>
          <t>Mid cross braces</t>
        </is>
      </c>
      <c r="C6" t="inlineStr">
        <is>
          <t>Al flat 1.5"x1/8"</t>
        </is>
      </c>
      <c r="D6" t="n">
        <v>2</v>
      </c>
      <c r="E6" t="n">
        <v>0</v>
      </c>
      <c r="F6">
        <f>D6*Inputs!$B$3+E6*Inputs!$B$4</f>
        <v/>
      </c>
      <c r="H6">
        <f>F6*G6</f>
        <v/>
      </c>
      <c r="I6" t="inlineStr">
        <is>
          <t>18.5" (front &amp; rear)</t>
        </is>
      </c>
    </row>
    <row r="7">
      <c r="A7" t="inlineStr">
        <is>
          <t>Stops</t>
        </is>
      </c>
      <c r="B7" t="inlineStr">
        <is>
          <t>Rear tray stops</t>
        </is>
      </c>
      <c r="C7" t="inlineStr">
        <is>
          <t>Al flat 1"x1/8"</t>
        </is>
      </c>
      <c r="D7" t="n">
        <v>16</v>
      </c>
      <c r="E7" t="n">
        <v>20</v>
      </c>
      <c r="F7">
        <f>D7*Inputs!$B$3+E7*Inputs!$B$4</f>
        <v/>
      </c>
      <c r="H7">
        <f>F7*G7</f>
        <v/>
      </c>
      <c r="I7" t="inlineStr">
        <is>
          <t>15.5" (optional)</t>
        </is>
      </c>
    </row>
    <row r="8">
      <c r="A8" t="inlineStr">
        <is>
          <t>Casters</t>
        </is>
      </c>
      <c r="B8" t="inlineStr">
        <is>
          <t>Swivel (2 lock, 2 swivel)</t>
        </is>
      </c>
      <c r="C8" t="inlineStr">
        <is>
          <t>5" TPR, top-plate</t>
        </is>
      </c>
      <c r="D8" t="n">
        <v>4</v>
      </c>
      <c r="E8" t="n">
        <v>4</v>
      </c>
      <c r="F8">
        <f>D8*Inputs!$B$3+E8*Inputs!$B$4</f>
        <v/>
      </c>
      <c r="H8">
        <f>F8*G8</f>
        <v/>
      </c>
      <c r="I8" t="inlineStr">
        <is>
          <t>≥250 lb each</t>
        </is>
      </c>
    </row>
    <row r="9">
      <c r="A9" t="inlineStr">
        <is>
          <t>Lighting</t>
        </is>
      </c>
      <c r="B9" t="inlineStr">
        <is>
          <t>LED bars (IP65)</t>
        </is>
      </c>
      <c r="C9" t="inlineStr">
        <is>
          <t>20–22"; 12–18 W; 24 VDC</t>
        </is>
      </c>
      <c r="D9" t="n">
        <v>16</v>
      </c>
      <c r="E9" t="n">
        <v>20</v>
      </c>
      <c r="F9">
        <f>D9*Inputs!$B$3+E9*Inputs!$B$4</f>
        <v/>
      </c>
      <c r="H9">
        <f>F9*G9</f>
        <v/>
      </c>
      <c r="I9" t="inlineStr">
        <is>
          <t>One per level</t>
        </is>
      </c>
    </row>
    <row r="10">
      <c r="A10" t="inlineStr">
        <is>
          <t>Lighting</t>
        </is>
      </c>
      <c r="B10" t="inlineStr">
        <is>
          <t>Angle brackets</t>
        </is>
      </c>
      <c r="C10" t="inlineStr">
        <is>
          <t>15° tilt, SS low-profile</t>
        </is>
      </c>
      <c r="D10" t="n">
        <v>16</v>
      </c>
      <c r="E10" t="n">
        <v>0</v>
      </c>
      <c r="F10">
        <f>D10*Inputs!$B$3+E10*Inputs!$B$4</f>
        <v/>
      </c>
      <c r="H10">
        <f>F10*G10</f>
        <v/>
      </c>
      <c r="I10" t="inlineStr">
        <is>
          <t>Mount to underside of slide above (front)</t>
        </is>
      </c>
    </row>
    <row r="11">
      <c r="A11" t="inlineStr">
        <is>
          <t>Lighting</t>
        </is>
      </c>
      <c r="B11" t="inlineStr">
        <is>
          <t>Wiring harness</t>
        </is>
      </c>
      <c r="C11" t="inlineStr">
        <is>
          <t>24 VDC trunk + QD</t>
        </is>
      </c>
      <c r="D11" t="n">
        <v>1</v>
      </c>
      <c r="E11" t="n">
        <v>0</v>
      </c>
      <c r="F11">
        <f>D11*Inputs!$B$3+E11*Inputs!$B$4</f>
        <v/>
      </c>
      <c r="H11">
        <f>F11*G11</f>
        <v/>
      </c>
      <c r="I11" t="inlineStr">
        <is>
          <t>16 taps</t>
        </is>
      </c>
    </row>
    <row r="12">
      <c r="A12" t="inlineStr">
        <is>
          <t>Irrigation</t>
        </is>
      </c>
      <c r="B12" t="inlineStr">
        <is>
          <t>Rear rail/level</t>
        </is>
      </c>
      <c r="C12" t="inlineStr">
        <is>
          <t>1/4" poly + 3 misters</t>
        </is>
      </c>
      <c r="D12" t="n">
        <v>16</v>
      </c>
      <c r="E12" t="n">
        <v>20</v>
      </c>
      <c r="F12">
        <f>D12*Inputs!$B$3+E12*Inputs!$B$4</f>
        <v/>
      </c>
      <c r="H12">
        <f>F12*G12</f>
        <v/>
      </c>
      <c r="I12" t="inlineStr">
        <is>
          <t>Anti-drip 7–10 L/hr @ 30–40 psi</t>
        </is>
      </c>
    </row>
    <row r="13">
      <c r="A13" t="inlineStr">
        <is>
          <t>Irrigation</t>
        </is>
      </c>
      <c r="B13" t="inlineStr">
        <is>
          <t>Vertical header</t>
        </is>
      </c>
      <c r="C13" t="inlineStr">
        <is>
          <t>1/2" PEX or PVC</t>
        </is>
      </c>
      <c r="D13" t="n">
        <v>1</v>
      </c>
      <c r="E13" t="n">
        <v>1</v>
      </c>
      <c r="F13">
        <f>D13*Inputs!$B$3+E13*Inputs!$B$4</f>
        <v/>
      </c>
      <c r="H13">
        <f>F13*G13</f>
        <v/>
      </c>
      <c r="I13" t="inlineStr">
        <is>
          <t>Feeds all levels</t>
        </is>
      </c>
    </row>
    <row r="14">
      <c r="A14" t="inlineStr">
        <is>
          <t>Irrigation</t>
        </is>
      </c>
      <c r="B14" t="inlineStr">
        <is>
          <t>Solenoid valve</t>
        </is>
      </c>
      <c r="C14" t="inlineStr">
        <is>
          <t>24 VDC; 3/4" NPT</t>
        </is>
      </c>
      <c r="D14" t="n">
        <v>1</v>
      </c>
      <c r="E14" t="n">
        <v>1</v>
      </c>
      <c r="F14">
        <f>D14*Inputs!$B$3+E14*Inputs!$B$4</f>
        <v/>
      </c>
      <c r="H14">
        <f>F14*G14</f>
        <v/>
      </c>
      <c r="I14" t="inlineStr">
        <is>
          <t>One per rack</t>
        </is>
      </c>
    </row>
    <row r="15">
      <c r="A15" t="inlineStr">
        <is>
          <t>Irrigation</t>
        </is>
      </c>
      <c r="B15" t="inlineStr">
        <is>
          <t>PRV / regulator</t>
        </is>
      </c>
      <c r="C15" t="inlineStr">
        <is>
          <t>30–40 psi inline</t>
        </is>
      </c>
      <c r="D15" t="n">
        <v>1</v>
      </c>
      <c r="E15" t="n">
        <v>1</v>
      </c>
      <c r="F15">
        <f>D15*Inputs!$B$3+E15*Inputs!$B$4</f>
        <v/>
      </c>
      <c r="H15">
        <f>F15*G15</f>
        <v/>
      </c>
      <c r="I15" t="inlineStr">
        <is>
          <t>Per rack</t>
        </is>
      </c>
    </row>
    <row r="16">
      <c r="A16" t="inlineStr">
        <is>
          <t>Irrigation</t>
        </is>
      </c>
      <c r="B16" t="inlineStr">
        <is>
          <t>Quick-connect</t>
        </is>
      </c>
      <c r="C16" t="inlineStr">
        <is>
          <t>3/4" or 1/2" dry-break</t>
        </is>
      </c>
      <c r="D16" t="n">
        <v>1</v>
      </c>
      <c r="E16" t="n">
        <v>1</v>
      </c>
      <c r="F16">
        <f>D16*Inputs!$B$3+E16*Inputs!$B$4</f>
        <v/>
      </c>
      <c r="H16">
        <f>F16*G16</f>
        <v/>
      </c>
      <c r="I16" t="inlineStr">
        <is>
          <t>Main feed to rack</t>
        </is>
      </c>
    </row>
    <row r="17">
      <c r="A17" t="inlineStr">
        <is>
          <t>Irrigation</t>
        </is>
      </c>
      <c r="B17" t="inlineStr">
        <is>
          <t>Filter at rack</t>
        </is>
      </c>
      <c r="C17" t="inlineStr">
        <is>
          <t>100–150 mesh inline</t>
        </is>
      </c>
      <c r="D17" t="n">
        <v>1</v>
      </c>
      <c r="E17" t="n">
        <v>1</v>
      </c>
      <c r="F17">
        <f>D17*Inputs!$B$3+E17*Inputs!$B$4</f>
        <v/>
      </c>
      <c r="H17">
        <f>F17*G17</f>
        <v/>
      </c>
      <c r="I17" t="inlineStr">
        <is>
          <t>Protects nozzles</t>
        </is>
      </c>
    </row>
    <row r="18">
      <c r="A18" t="inlineStr">
        <is>
          <t>Protection</t>
        </is>
      </c>
      <c r="B18" t="inlineStr">
        <is>
          <t>Drip guard (clear)</t>
        </is>
      </c>
      <c r="C18" t="inlineStr">
        <is>
          <t>Polycarbonate ~3"x22"</t>
        </is>
      </c>
      <c r="D18" t="n">
        <v>16</v>
      </c>
      <c r="E18" t="n">
        <v>20</v>
      </c>
      <c r="F18">
        <f>D18*Inputs!$B$3+E18*Inputs!$B$4</f>
        <v/>
      </c>
      <c r="H18">
        <f>F18*G18</f>
        <v/>
      </c>
      <c r="I18" t="inlineStr">
        <is>
          <t>Above LED per level</t>
        </is>
      </c>
    </row>
    <row r="19">
      <c r="A19" t="inlineStr">
        <is>
          <t>Electrical</t>
        </is>
      </c>
      <c r="B19" t="inlineStr">
        <is>
          <t>Power supply</t>
        </is>
      </c>
      <c r="C19" t="inlineStr">
        <is>
          <t>24 VDC 240–320 W</t>
        </is>
      </c>
      <c r="D19" t="n">
        <v>1</v>
      </c>
      <c r="E19" t="n">
        <v>0</v>
      </c>
      <c r="F19">
        <f>D19*Inputs!$B$3+E19*Inputs!$B$4</f>
        <v/>
      </c>
      <c r="H19">
        <f>F19*G19</f>
        <v/>
      </c>
      <c r="I19" t="inlineStr">
        <is>
          <t>Size to LED choice</t>
        </is>
      </c>
    </row>
    <row r="20">
      <c r="A20" t="inlineStr">
        <is>
          <t>Fasteners</t>
        </is>
      </c>
      <c r="B20" t="inlineStr">
        <is>
          <t>Rivets/bolts</t>
        </is>
      </c>
      <c r="C20" t="inlineStr">
        <is>
          <t>SS assorted</t>
        </is>
      </c>
      <c r="D20" t="n">
        <v>0</v>
      </c>
      <c r="E20" t="n">
        <v>0</v>
      </c>
      <c r="F20">
        <f>D20*Inputs!$B$3+E20*Inputs!$B$4</f>
        <v/>
      </c>
      <c r="H20">
        <f>F20*G20</f>
        <v/>
      </c>
      <c r="I20" t="inlineStr">
        <is>
          <t>Slides/LED/braces/casters</t>
        </is>
      </c>
    </row>
    <row r="21">
      <c r="A21" t="inlineStr">
        <is>
          <t>Labels</t>
        </is>
      </c>
      <c r="B21" t="inlineStr">
        <is>
          <t>Channel/clip labels</t>
        </is>
      </c>
      <c r="C21" t="inlineStr">
        <is>
          <t>Tray ID holders</t>
        </is>
      </c>
      <c r="D21" t="n">
        <v>16</v>
      </c>
      <c r="E21" t="n">
        <v>20</v>
      </c>
      <c r="F21">
        <f>D21*Inputs!$B$3+E21*Inputs!$B$4</f>
        <v/>
      </c>
      <c r="H21">
        <f>F21*G21</f>
        <v/>
      </c>
      <c r="I21" t="inlineStr">
        <is>
          <t>Optional</t>
        </is>
      </c>
    </row>
    <row r="22">
      <c r="A22" t="inlineStr"/>
      <c r="B22" t="inlineStr"/>
      <c r="C22" t="inlineStr">
        <is>
          <t>Aluminum angle 1.5"x1.5"x1/8"</t>
        </is>
      </c>
      <c r="D22" t="n">
        <v>0</v>
      </c>
      <c r="E22" t="n">
        <v>4</v>
      </c>
      <c r="F22">
        <f>D22*Inputs!$B$3+E22*Inputs!$B$4</f>
        <v/>
      </c>
      <c r="H22">
        <f>F22*G22</f>
        <v/>
      </c>
      <c r="I22" t="inlineStr"/>
    </row>
    <row r="23">
      <c r="A23" t="inlineStr"/>
      <c r="B23" t="inlineStr"/>
      <c r="C23" t="inlineStr">
        <is>
          <t>Al flat 1.5"x1/8"</t>
        </is>
      </c>
      <c r="D23" t="n">
        <v>0</v>
      </c>
      <c r="E23" t="n">
        <v>2</v>
      </c>
      <c r="F23">
        <f>D23*Inputs!$B$3+E23*Inputs!$B$4</f>
        <v/>
      </c>
      <c r="H23">
        <f>F23*G23</f>
        <v/>
      </c>
      <c r="I23" t="inlineStr"/>
    </row>
    <row r="24">
      <c r="A24" t="inlineStr"/>
      <c r="B24" t="inlineStr"/>
      <c r="C24" t="inlineStr">
        <is>
          <t>15° tilt, SS low-profile</t>
        </is>
      </c>
      <c r="D24" t="n">
        <v>0</v>
      </c>
      <c r="E24" t="n">
        <v>20</v>
      </c>
      <c r="F24">
        <f>D24*Inputs!$B$3+E24*Inputs!$B$4</f>
        <v/>
      </c>
      <c r="H24">
        <f>F24*G24</f>
        <v/>
      </c>
      <c r="I24" t="inlineStr"/>
    </row>
    <row r="25">
      <c r="A25" t="inlineStr"/>
      <c r="B25" t="inlineStr"/>
      <c r="C25" t="inlineStr">
        <is>
          <t>24 VDC trunk + QD</t>
        </is>
      </c>
      <c r="D25" t="n">
        <v>0</v>
      </c>
      <c r="E25" t="n">
        <v>1</v>
      </c>
      <c r="F25">
        <f>D25*Inputs!$B$3+E25*Inputs!$B$4</f>
        <v/>
      </c>
      <c r="H25">
        <f>F25*G25</f>
        <v/>
      </c>
      <c r="I25" t="inlineStr"/>
    </row>
    <row r="26">
      <c r="A26" t="inlineStr"/>
      <c r="B26" t="inlineStr"/>
      <c r="C26" t="inlineStr">
        <is>
          <t>24 VDC 320–480 W</t>
        </is>
      </c>
      <c r="D26" t="n">
        <v>0</v>
      </c>
      <c r="E26" t="n">
        <v>1</v>
      </c>
      <c r="F26">
        <f>D26*Inputs!$B$3+E26*Inputs!$B$4</f>
        <v/>
      </c>
      <c r="H26">
        <f>F26*G26</f>
        <v/>
      </c>
      <c r="I26" t="inlineStr"/>
    </row>
    <row r="27">
      <c r="A27" t="inlineStr"/>
      <c r="B27" t="inlineStr"/>
      <c r="C27" t="inlineStr">
        <is>
          <t>SS assorted</t>
        </is>
      </c>
      <c r="D27" t="n">
        <v>0</v>
      </c>
      <c r="E27" t="n">
        <v>0</v>
      </c>
      <c r="F27">
        <f>D27*Inputs!$B$3+E27*Inputs!$B$4</f>
        <v/>
      </c>
      <c r="H27">
        <f>F27*G27</f>
        <v/>
      </c>
      <c r="I27" t="inlineStr"/>
    </row>
    <row r="28">
      <c r="G28" s="2" t="inlineStr">
        <is>
          <t>TOTAL</t>
        </is>
      </c>
      <c r="H28" s="2">
        <f>SUM(H2:H27)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</cols>
  <sheetData>
    <row r="1">
      <c r="A1" s="2" t="inlineStr">
        <is>
          <t>Power &amp; Water Sizing (auto)</t>
        </is>
      </c>
    </row>
    <row r="3">
      <c r="A3" t="inlineStr">
        <is>
          <t>LED power per level (W)</t>
        </is>
      </c>
      <c r="B3">
        <f>Inputs!B6</f>
        <v/>
      </c>
    </row>
    <row r="4">
      <c r="A4" t="inlineStr">
        <is>
          <t>Levels per Slim-16</t>
        </is>
      </c>
      <c r="B4" t="n">
        <v>16</v>
      </c>
    </row>
    <row r="5">
      <c r="A5" t="inlineStr">
        <is>
          <t>Levels per Tall-20</t>
        </is>
      </c>
      <c r="B5" t="n">
        <v>20</v>
      </c>
    </row>
    <row r="6">
      <c r="A6" t="inlineStr">
        <is>
          <t>Slim-16 count</t>
        </is>
      </c>
      <c r="B6">
        <f>Inputs!B3</f>
        <v/>
      </c>
    </row>
    <row r="7">
      <c r="A7" t="inlineStr">
        <is>
          <t>Tall-20 count</t>
        </is>
      </c>
      <c r="B7">
        <f>Inputs!B4</f>
        <v/>
      </c>
    </row>
    <row r="8">
      <c r="A8" t="inlineStr">
        <is>
          <t>Max racks ON simultaneously</t>
        </is>
      </c>
      <c r="B8">
        <f>Inputs!B7</f>
        <v/>
      </c>
    </row>
    <row r="10">
      <c r="A10" t="inlineStr">
        <is>
          <t>Total LED power (W)</t>
        </is>
      </c>
      <c r="B10">
        <f>(B3*B4*B6)+(B3*B5*B7)</f>
        <v/>
      </c>
    </row>
    <row r="11">
      <c r="A11" t="inlineStr">
        <is>
          <t>Estimated daily kWh @16h</t>
        </is>
      </c>
      <c r="B11">
        <f>B10*16/1000</f>
        <v/>
      </c>
    </row>
    <row r="13">
      <c r="A13" t="inlineStr">
        <is>
          <t>Flow per level (gpm)</t>
        </is>
      </c>
      <c r="B13" t="n">
        <v>0.106</v>
      </c>
    </row>
    <row r="14">
      <c r="A14" t="inlineStr">
        <is>
          <t>Total flow/rack Slim-16 (gpm)</t>
        </is>
      </c>
      <c r="B14">
        <f>B13*B4</f>
        <v/>
      </c>
    </row>
    <row r="15">
      <c r="A15" t="inlineStr">
        <is>
          <t>Total flow/rack Tall-20 (gpm)</t>
        </is>
      </c>
      <c r="B15">
        <f>B13*B5</f>
        <v/>
      </c>
    </row>
    <row r="16">
      <c r="A16" t="inlineStr">
        <is>
          <t>Pump flow sizing (gpm)</t>
        </is>
      </c>
      <c r="B16">
        <f>MAX(B14,B15)*B8</f>
        <v/>
      </c>
    </row>
    <row r="17">
      <c r="A17" t="inlineStr">
        <is>
          <t>Suggested pump (gpm @ 50 psi)</t>
        </is>
      </c>
      <c r="B17">
        <f>ROUNDUP(B16+0.5,0)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2025-08-11T06:06:39Z</dcterms:created>
  <dcterms:modified xmlns:dcterms="http://purl.org/dc/terms/" xmlns:xsi="http://www.w3.org/2001/XMLSchema-instance" xsi:type="dcterms:W3CDTF">2025-08-11T06:06:39Z</dcterms:modified>
</cp:coreProperties>
</file>